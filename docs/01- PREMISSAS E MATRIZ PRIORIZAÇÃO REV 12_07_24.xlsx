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https://corpclarobr-my.sharepoint.com/personal/jonas_resende_claro_com_br/Documents/0 - SÃO PAULO/01 - DIR INFRAESTRUTURA/04-PROJETOS/01-DIGITALIZAÇÃO INFRA/03-BE ON/PROJETO BATERIAS/01- MATRIZ DE PRIORIZAÇÃO/"/>
    </mc:Choice>
  </mc:AlternateContent>
  <xr:revisionPtr revIDLastSave="915" documentId="8_{FB8E3B0E-BC7A-48CA-AE8B-BA26C9E175A1}" xr6:coauthVersionLast="47" xr6:coauthVersionMax="47" xr10:uidLastSave="{670F9F17-8678-4BB9-9604-D3C815B519E1}"/>
  <bookViews>
    <workbookView xWindow="-110" yWindow="-110" windowWidth="19420" windowHeight="10300" xr2:uid="{D089D16A-1C61-409E-944B-9B4500CC90CC}"/>
  </bookViews>
  <sheets>
    <sheet name="VERSÃO 1" sheetId="5" r:id="rId1"/>
    <sheet name="Planilha1" sheetId="6" r:id="rId2"/>
    <sheet name="ORIENTAÇÕES" sheetId="4" r:id="rId3"/>
    <sheet name="Premissa etapa 1 esteira Be On" sheetId="1" r:id="rId4"/>
    <sheet name="Matrix priorização_negocio" sheetId="2" r:id="rId5"/>
  </sheets>
  <definedNames>
    <definedName name="_xlnm._FilterDatabase" localSheetId="4" hidden="1">'Matrix priorização_negocio'!$A$2:$K$18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0" i="5" l="1"/>
  <c r="C11" i="5"/>
  <c r="C10" i="5"/>
  <c r="H10" i="5"/>
  <c r="K11" i="5"/>
  <c r="K12" i="5"/>
  <c r="K10" i="5"/>
  <c r="J11" i="5"/>
  <c r="J12" i="5"/>
  <c r="J10" i="5"/>
  <c r="I11" i="5"/>
  <c r="I12" i="5"/>
  <c r="I10" i="5"/>
  <c r="H12" i="5"/>
  <c r="H11" i="5"/>
  <c r="G11" i="5"/>
  <c r="G12" i="5"/>
  <c r="G10" i="5"/>
  <c r="F11" i="5"/>
  <c r="F12" i="5"/>
  <c r="F10" i="5"/>
  <c r="E11" i="5"/>
  <c r="E12" i="5"/>
  <c r="E10" i="5"/>
  <c r="C12" i="5"/>
  <c r="L4" i="5"/>
  <c r="L11" i="5" l="1"/>
  <c r="L12" i="5"/>
  <c r="D17" i="2"/>
  <c r="J13" i="1" l="1"/>
  <c r="I13" i="1"/>
  <c r="H13" i="1"/>
  <c r="G13" i="1"/>
  <c r="J11" i="1"/>
  <c r="I11" i="1"/>
  <c r="H11" i="1"/>
  <c r="G11" i="1"/>
</calcChain>
</file>

<file path=xl/sharedStrings.xml><?xml version="1.0" encoding="utf-8"?>
<sst xmlns="http://schemas.openxmlformats.org/spreadsheetml/2006/main" count="375" uniqueCount="244">
  <si>
    <t>BASE DE DADOS REMEDY</t>
  </si>
  <si>
    <t>base remedy</t>
  </si>
  <si>
    <t>BASE</t>
  </si>
  <si>
    <t>NETCOOL</t>
  </si>
  <si>
    <t>Outlier</t>
  </si>
  <si>
    <t>Sem impacto</t>
  </si>
  <si>
    <t>1 Reported Date</t>
  </si>
  <si>
    <t>2 Submit Date</t>
  </si>
  <si>
    <t>3 Clear Date</t>
  </si>
  <si>
    <t>4 Resolved date</t>
  </si>
  <si>
    <t>Qual o % de incidentes com Resolved date sem clear date</t>
  </si>
  <si>
    <t>Com impacto</t>
  </si>
  <si>
    <t>5 Reported Date</t>
  </si>
  <si>
    <t>6 Submit Date</t>
  </si>
  <si>
    <t>7 Clear Date</t>
  </si>
  <si>
    <t>8 Resolved date</t>
  </si>
  <si>
    <t>autonomia zero</t>
  </si>
  <si>
    <t>Premissa 1</t>
  </si>
  <si>
    <t>Premissa 2</t>
  </si>
  <si>
    <t>Premissa 3</t>
  </si>
  <si>
    <t>Tempo falha energia</t>
  </si>
  <si>
    <t>Autonomia de bateria</t>
  </si>
  <si>
    <t>Se houver incidente na base sem impacto e não houver na base com impacto, calcular autonia pela diferença clear e submit da base sem impacto, considerando o incidente com maior tempo de duração</t>
  </si>
  <si>
    <t>Usar 3º Quartil  da mediana para tempo de autonomia/queda de energia</t>
  </si>
  <si>
    <t>Base Infratel</t>
  </si>
  <si>
    <t>Autonomia teorica bateria</t>
  </si>
  <si>
    <t>Usar somente posteriormente para validar autonomia teorica e autonomia real (condições adversas de uso)</t>
  </si>
  <si>
    <t>Na base de incidentes com impacto, quando houver um incidente relacionado a mais de um site, o site a ser considerado para falta de energia será somente o site confirmado pela ultima coluna da base da planilha, chamada "IC"</t>
  </si>
  <si>
    <t>Variáveis</t>
  </si>
  <si>
    <t>Criterio de uso da variável</t>
  </si>
  <si>
    <t>Variáveis usadas atualmente Abril/2024</t>
  </si>
  <si>
    <t>Autonomia Bateria</t>
  </si>
  <si>
    <t>Uso da autonomia pelo calculo através do incidente. Em casos de não haver incidente com impacto (bateria entrou em descarga mas não houve queda de tecnologia) usar referencia minima calculada pela base de incidentes sem impacto mas usar a referencia Infratel de autonomia calculada.</t>
  </si>
  <si>
    <t>Incidentes falha de energia</t>
  </si>
  <si>
    <t>Uso da base incidentes remedy já usadas na etapa 1 da experimentação Be On</t>
  </si>
  <si>
    <t>Volume de dados trafegados</t>
  </si>
  <si>
    <t>Uso da base de trafego conforme indicador "Post Morten"</t>
  </si>
  <si>
    <t>Hieraquia - Estações/sites</t>
  </si>
  <si>
    <t>Uso da severidade (relatorio base Smartplan) conforme tabela POP-OPS-093</t>
  </si>
  <si>
    <t>Paulino</t>
  </si>
  <si>
    <t>Incidentes falha de energia - TMR</t>
  </si>
  <si>
    <t>Novas variáveis a serem incluidas</t>
  </si>
  <si>
    <t>Faturamento (R$) do site</t>
  </si>
  <si>
    <t>Sopreposição de cobertura de celulas do site</t>
  </si>
  <si>
    <t>Verificar com time do Oliver/Ricardo</t>
  </si>
  <si>
    <t>Jonas</t>
  </si>
  <si>
    <t>Atendimento de cliente corporativo, VIP, etc</t>
  </si>
  <si>
    <t>Luciano Pacini - time do birraque</t>
  </si>
  <si>
    <t>Historio de roubo de bateria/vandalismo no site</t>
  </si>
  <si>
    <t>Confirmar se é viavel repor bateria ou não no site em função de risco de novo vandalismo ( marcia.nicolich@claro.com.br confirmar existencia de sistema de controle de vandalismo) - SIGO?</t>
  </si>
  <si>
    <t>Edson</t>
  </si>
  <si>
    <t>OK</t>
  </si>
  <si>
    <t>Existe sistema que traga vandalismo por tipo e volume por site?</t>
  </si>
  <si>
    <t>Impacto RQUAL por infra/queda de energia</t>
  </si>
  <si>
    <t>Conversar com Emerson di renzo</t>
  </si>
  <si>
    <t>Daniel</t>
  </si>
  <si>
    <t>Existe sistema que traga o impacto de RQUAL por tipo de afetação (IND8) ? Qual é o sistema.</t>
  </si>
  <si>
    <t>Plano nominal da rede</t>
  </si>
  <si>
    <t>Expurgar aplicação de bateria em sites que está previsto expansão e instalação de bateria (smart plan contem quais informações do PN?) - Rodar modelo sem expurgo e com expurgo (Falar Walder)</t>
  </si>
  <si>
    <t>No PN há indicação dos sites que receberão bateria? Estão em que sistema? Smartplan? Qual relatorio?</t>
  </si>
  <si>
    <t>Conseguir a planilha de aplicação bateria 2024</t>
  </si>
  <si>
    <t>Sites com 5G</t>
  </si>
  <si>
    <t>São prioritários/importantes?</t>
  </si>
  <si>
    <t>De férias até 30/08</t>
  </si>
  <si>
    <t>Erro no sistema na liberação do acesso, acionado TI, aguardando em 15/08/24</t>
  </si>
  <si>
    <t>Francisco jose amaral da costa</t>
  </si>
  <si>
    <t>ok</t>
  </si>
  <si>
    <t>não</t>
  </si>
  <si>
    <t>Variavel considerada</t>
  </si>
  <si>
    <t>judice</t>
  </si>
  <si>
    <t>Definir faixas &gt;pesos</t>
  </si>
  <si>
    <t>Categorico</t>
  </si>
  <si>
    <t>Quantitativo</t>
  </si>
  <si>
    <t>Categorico/ordinal</t>
  </si>
  <si>
    <t>Tipo de varial</t>
  </si>
  <si>
    <t>ação</t>
  </si>
  <si>
    <t>Ordem de priorização de atendimento a sites que cairam simultaneamente</t>
  </si>
  <si>
    <t>2º Saida</t>
  </si>
  <si>
    <t>Apontar eventual oportunidades de remanejamento de baterias</t>
  </si>
  <si>
    <t>Atendimento tenico</t>
  </si>
  <si>
    <t>Bateria</t>
  </si>
  <si>
    <t>Se eu disponho de 1MM de reais para compra de baterias, onde aplica-las com base na otimização (atender o maior numero de sites possivel com essa verba)</t>
  </si>
  <si>
    <t>1º Saida</t>
  </si>
  <si>
    <t>3ª Saida</t>
  </si>
  <si>
    <t>Onde aplicar recursos financeiros disponiveis</t>
  </si>
  <si>
    <t>Data de instalação das baterias</t>
  </si>
  <si>
    <t>Dado relevante principalmente considerando sites de alta hierarquia em que não possua historico de queda e autonomia de fato calculada pela etapa 1 do otimizador.</t>
  </si>
  <si>
    <t>SOH (inserir no futuro a partir dos dados disponiveis em datalake) revisão do otimizador</t>
  </si>
  <si>
    <t>Peso (visão negocio)</t>
  </si>
  <si>
    <t>somatorio = 1</t>
  </si>
  <si>
    <t>VARIAVEIS UTILIZADAS (AS IS)</t>
  </si>
  <si>
    <t>VARIAVEIS A SEREM USADAS (TO BE)</t>
  </si>
  <si>
    <t>Atendimento de cliente corporativo, VIP, etc (Categorico)</t>
  </si>
  <si>
    <t>Hieraquia - Estações/sites (Categorico)</t>
  </si>
  <si>
    <t>Pontuac¸​a˜o Total=(A×WA​)+(B×WB​)+(C×WC​)+(D×WD​)+(E×WE​)+(F×WF​)</t>
  </si>
  <si>
    <t>WDW_DWD​ é o peso para o faturamento</t>
  </si>
  <si>
    <t>WEW_EWE​ é o peso para a data de instalação das baterias</t>
  </si>
  <si>
    <t>WFW_FWF​ é o peso para o cliente VIP</t>
  </si>
  <si>
    <t>WA​ é o peso para a autonomia de bateria
WBW_BWB​ é o peso para o volume e tempo de duração das quedas de energia
WCW_CWC​ é o peso para o volume de dados trafegados</t>
  </si>
  <si>
    <t>PESO 01 - AUTONOMIA DE BATERIAS</t>
  </si>
  <si>
    <t>PESO 02 - INCIDENTES FALHA ENERGIA</t>
  </si>
  <si>
    <t>PESO 03 – VOLUME DE DADOS</t>
  </si>
  <si>
    <t>PESO 04 – HIERARQUIA - ESTAÇÕES</t>
  </si>
  <si>
    <t>PESO 05 - INCIDENTES FALHA ENERGIA - TMR</t>
  </si>
  <si>
    <t>Probabilidade</t>
  </si>
  <si>
    <t>Peso 1</t>
  </si>
  <si>
    <t>Conceituação</t>
  </si>
  <si>
    <t>Peso 2</t>
  </si>
  <si>
    <t>Recorrencia Causa Energia</t>
  </si>
  <si>
    <t>Impacto</t>
  </si>
  <si>
    <t>Peso 3</t>
  </si>
  <si>
    <t>Severidade</t>
  </si>
  <si>
    <t>Peso 4</t>
  </si>
  <si>
    <t>Tipo de Estações</t>
  </si>
  <si>
    <t>Peso 5</t>
  </si>
  <si>
    <t>TMR</t>
  </si>
  <si>
    <t>Muito Alta</t>
  </si>
  <si>
    <t>(81% a 100%)</t>
  </si>
  <si>
    <t>Sem Bateria / Sem Autonomia</t>
  </si>
  <si>
    <t>≥10</t>
  </si>
  <si>
    <t>≥ 40Tb</t>
  </si>
  <si>
    <t>Muito Crítico</t>
  </si>
  <si>
    <r>
      <t>Prédios de Centrais, BSC Remotas  - </t>
    </r>
    <r>
      <rPr>
        <sz val="6"/>
        <color rgb="FFE23236"/>
        <rFont val="AMX"/>
      </rPr>
      <t>(P0 e P1)</t>
    </r>
    <r>
      <rPr>
        <sz val="6"/>
        <color rgb="FF000000"/>
        <rFont val="AMX"/>
      </rPr>
      <t>​</t>
    </r>
  </si>
  <si>
    <t>≥6h TMR</t>
  </si>
  <si>
    <t>Alta</t>
  </si>
  <si>
    <t>(61% a 80%)</t>
  </si>
  <si>
    <t>Autonomia &lt; 1h</t>
  </si>
  <si>
    <t>8 a 9</t>
  </si>
  <si>
    <t xml:space="preserve"> 30Tb &lt; T ≤ 40Tb</t>
  </si>
  <si>
    <t>Crítico</t>
  </si>
  <si>
    <r>
      <t>Estações  concentradoras com roteadores IpRAN. e GPON- </t>
    </r>
    <r>
      <rPr>
        <sz val="6"/>
        <color rgb="FFFF0000"/>
        <rFont val="AMX"/>
      </rPr>
      <t>(P2 e P3) </t>
    </r>
    <r>
      <rPr>
        <sz val="6"/>
        <color rgb="FF000000"/>
        <rFont val="AMX"/>
      </rPr>
      <t>​</t>
    </r>
  </si>
  <si>
    <t>&gt;5h TMR &lt;6h</t>
  </si>
  <si>
    <t>Média</t>
  </si>
  <si>
    <t>(41% a 60%)</t>
  </si>
  <si>
    <t>Autonomia entre 1 e 2hs</t>
  </si>
  <si>
    <t>5 a 7</t>
  </si>
  <si>
    <t>Media</t>
  </si>
  <si>
    <t xml:space="preserve"> 20Tb &lt; T ≤ 30Tb</t>
  </si>
  <si>
    <t>Severo</t>
  </si>
  <si>
    <r>
      <t>Cidades com até 5 Estações e Monosites </t>
    </r>
    <r>
      <rPr>
        <sz val="6"/>
        <color rgb="FFFF0000"/>
        <rFont val="AMX"/>
      </rPr>
      <t>(P4 e P5)</t>
    </r>
    <r>
      <rPr>
        <sz val="6"/>
        <color rgb="FF000000"/>
        <rFont val="AMX"/>
      </rPr>
      <t>​</t>
    </r>
  </si>
  <si>
    <t>&gt;4 TMR &lt;5h</t>
  </si>
  <si>
    <t>Baixa</t>
  </si>
  <si>
    <t>(21% a 40%)</t>
  </si>
  <si>
    <t>Autonomia entre 2 e 4hs</t>
  </si>
  <si>
    <t>3 a 4</t>
  </si>
  <si>
    <t>10Tb &lt; T ≤ 20Tb</t>
  </si>
  <si>
    <t>Moderado</t>
  </si>
  <si>
    <r>
      <t>Estações estratégicas.(P6)</t>
    </r>
    <r>
      <rPr>
        <sz val="6"/>
        <color rgb="FF000000"/>
        <rFont val="AMX"/>
      </rPr>
      <t>​</t>
    </r>
  </si>
  <si>
    <t>&gt;1 TMR &lt;3h</t>
  </si>
  <si>
    <t>Muito Baixa</t>
  </si>
  <si>
    <t>(0 a 20%)</t>
  </si>
  <si>
    <t>1 a 2</t>
  </si>
  <si>
    <t>Tb ≤ 10Tb</t>
  </si>
  <si>
    <t>Leve</t>
  </si>
  <si>
    <r>
      <t>Estações de Ponta ou repetidores RF </t>
    </r>
    <r>
      <rPr>
        <sz val="6"/>
        <color rgb="FFE23236"/>
        <rFont val="AMX"/>
      </rPr>
      <t>(P7)</t>
    </r>
    <r>
      <rPr>
        <sz val="6"/>
        <color rgb="FF000000"/>
        <rFont val="AMX"/>
      </rPr>
      <t>​</t>
    </r>
  </si>
  <si>
    <t>TMR ≤1h</t>
  </si>
  <si>
    <t>Sem Bateria e/ou sem autonomia para atender ao tempo de queda de energia</t>
  </si>
  <si>
    <t>Probabilidade (queda site)</t>
  </si>
  <si>
    <t>Pelo historico queda x autonomia site dispõe de autonomia suficiente</t>
  </si>
  <si>
    <t>Variável 01 - AUTONOMIA x FALHA DE ENERGIA</t>
  </si>
  <si>
    <t>(NÃO CONSIDERADO) INCIDENTES FALHA ENERGIA</t>
  </si>
  <si>
    <t>Volume</t>
  </si>
  <si>
    <t>Sites com maior volume de dados trafegados</t>
  </si>
  <si>
    <t>3º Quartil dos dados</t>
  </si>
  <si>
    <t>2º Quartil de dados</t>
  </si>
  <si>
    <t>1º Quartil de dados</t>
  </si>
  <si>
    <t>Sites com trafego de dados intermediário</t>
  </si>
  <si>
    <t>Sites com baixo volume de dados trafegados</t>
  </si>
  <si>
    <t>VARIÁVEL 02 – VOLUME DE DADOS</t>
  </si>
  <si>
    <t>VARIÁVEL 03 – HIERARQUIA - ESTAÇÕES</t>
  </si>
  <si>
    <t>Tempo Medio de Reparo (TMR) para falhas de energia</t>
  </si>
  <si>
    <t>Sites com maior TMR</t>
  </si>
  <si>
    <t>Sites com TMR mediano</t>
  </si>
  <si>
    <t>Sites com TMR baixo</t>
  </si>
  <si>
    <t>VARIÁVEL 04- TEMPO MEDIO DE REPARO (TMR) PARA FALHAS DE ENERGIA</t>
  </si>
  <si>
    <t>VARIÁVEL 05- IDADE DAS BATERIAS (DATA DE INSTALAÇÃO)</t>
  </si>
  <si>
    <t>Idade superior a vida útil estimada</t>
  </si>
  <si>
    <t>DENTRO DA VIDA UTIL &gt;1 ANO</t>
  </si>
  <si>
    <t>DENTRO DA VIDA UTIL NO PRIMEIRO ANO</t>
  </si>
  <si>
    <t>Idade das baterias dentro da vida util a partir de 1 ano</t>
  </si>
  <si>
    <t>Primeiro ano de vida da bateria</t>
  </si>
  <si>
    <t>VARIÁVEL 06- FATURAMENTO (R$) DE CADA SITE</t>
  </si>
  <si>
    <t>3º Quartil do faturamento</t>
  </si>
  <si>
    <t>2º Quartil do faturamento</t>
  </si>
  <si>
    <t>1º Quartil do faturamento</t>
  </si>
  <si>
    <t>Faturamento alto</t>
  </si>
  <si>
    <t>Faturamento mediano</t>
  </si>
  <si>
    <t>Faturamento baixo</t>
  </si>
  <si>
    <t>VARIÁVEL 07 – SITE ATENDE A CLIENTE CORPORATIVO, VIP, ETC)</t>
  </si>
  <si>
    <t>ATENDE</t>
  </si>
  <si>
    <t>NÃO ATENDE</t>
  </si>
  <si>
    <t>Atende cliente corporativo, cliente VIP</t>
  </si>
  <si>
    <t>Site não atende clientes corporativos ou VIP</t>
  </si>
  <si>
    <t>3º Quartil do numero de vandalismo</t>
  </si>
  <si>
    <t>Sites com alto indice de vandalismo</t>
  </si>
  <si>
    <t>2º Quartil do numero de vandalismo</t>
  </si>
  <si>
    <t>Sites com medio indice de vandalismo</t>
  </si>
  <si>
    <t>1º Quartil do numero de vandalismo</t>
  </si>
  <si>
    <t>Sites com baixo indice ou sem historico de vandalismo</t>
  </si>
  <si>
    <t>AS IS</t>
  </si>
  <si>
    <t>PROPOSTO</t>
  </si>
  <si>
    <t>Ponderação (visão negocio)
O total deve ser igual a 100%</t>
  </si>
  <si>
    <t>Autonomia Bateria x Falha de energia</t>
  </si>
  <si>
    <t>Exemplo site 1</t>
  </si>
  <si>
    <t>Exemplo site 2</t>
  </si>
  <si>
    <t>Exemplo site 3</t>
  </si>
  <si>
    <t>EXEMPLOS</t>
  </si>
  <si>
    <t>1º</t>
  </si>
  <si>
    <t>2º</t>
  </si>
  <si>
    <t>3º</t>
  </si>
  <si>
    <t>4º</t>
  </si>
  <si>
    <t>5º</t>
  </si>
  <si>
    <t>6º</t>
  </si>
  <si>
    <t>7º</t>
  </si>
  <si>
    <t>8º</t>
  </si>
  <si>
    <t>ORDEM DE IMPORTANCIA</t>
  </si>
  <si>
    <t>Autonoma ≥ 4hs</t>
  </si>
  <si>
    <t>VARIÁVEL 08- HISTORICO DE VANDALISMO AO SITE (bateria)</t>
  </si>
  <si>
    <r>
      <t xml:space="preserve">Atendimento de cliente corporativo, VIP, </t>
    </r>
    <r>
      <rPr>
        <sz val="11"/>
        <color rgb="FFFF0000"/>
        <rFont val="Calibri"/>
        <family val="2"/>
        <scheme val="minor"/>
      </rPr>
      <t>regulatorio</t>
    </r>
    <r>
      <rPr>
        <sz val="11"/>
        <color theme="1"/>
        <rFont val="Calibri"/>
        <family val="2"/>
        <scheme val="minor"/>
      </rPr>
      <t>, etc(Categorico)</t>
    </r>
  </si>
  <si>
    <t>Autonomia excedente ou não calculada/sem historico de queda de energia</t>
  </si>
  <si>
    <t>*calibrar idade das baterias de litio pelo SOH</t>
  </si>
  <si>
    <r>
      <t xml:space="preserve">Residencial recebem 05 e empresarial segue quartis (conforme base do Felipe Hideki)
</t>
    </r>
    <r>
      <rPr>
        <sz val="8"/>
        <rFont val="Calibri"/>
        <family val="2"/>
        <scheme val="minor"/>
      </rPr>
      <t>Residencial geralmente usava HP para mensurar nivel de importancia dos sites (Qualinet)</t>
    </r>
  </si>
  <si>
    <t>*Residencial e empresarial são abertos incidentes manuais (estão desconsiderados) na variável 1</t>
  </si>
  <si>
    <t>SITES RESIDENCIAL e EMPRESARIAL</t>
  </si>
  <si>
    <t>Sites mercado residencial e empresarial</t>
  </si>
  <si>
    <t>x</t>
  </si>
  <si>
    <t>falta de energia</t>
  </si>
  <si>
    <t>Y</t>
  </si>
  <si>
    <t>Z</t>
  </si>
  <si>
    <t>W</t>
  </si>
  <si>
    <t>Concentradores</t>
  </si>
  <si>
    <t>CHUMBO VRLA  12v &gt;4 ANOS
CHUMBO VRLA  2v &gt;5 ANOS
CHUMBO VENTILADA 2V &gt; 12 ANOS
LITIO&gt; 8 ANOS</t>
  </si>
  <si>
    <r>
      <t>Para criar uma matriz de priorização que ajude a decidir onde repor baterias com base nas variáveis fornecidas, você pode utilizar um modelo de matriz de priorização ponderada. Esse modelo permite atribuir pesos a diferentes variáveis com base na sua importância para o negócio e calcular uma pontuação total para cada site, ajudando a priorizar os locais onde a reposição de baterias é mais crítica.
Aqui está um guia passo a passo para construir essa matriz de priorização:
1. Definir Variáveis e Pesos
Primeiro, você precisa definir as variáveis que serão usadas para priorizar a reposição de baterias e atribuir pesos a elas com base na sua importância. No seu cenário, as variáveis são:
Autonomia de Bateria Existente em Horas (A)
Volume e Tempo de Duração das Quedas de Energia (B)
Volume de Dados Trafegados (C)
Faturamento em R$ de Cada Site (D)
Data de Instalação das Baterias (E)
Se o Site Atende a um Cliente VIP (F)
Você deve atribuir um peso a cada variável com base em sua importância relativa para o negócio. A soma dos pesos deve ser 100% (ou 1, se você usar uma escala de 0 a 1).
2. Definir Escalas de Pontuação
Cada variável deve ser pontuada em uma escala consistente. Aqui está um exemplo de como você pode definir a escala de pontuação:
Autonomia de Bateria Existente em Horas (A): 1 a 5 (1 sendo muito baixa e 5 sendo alta)
Volume e Tempo de Duração das Quedas de Energia (B): 1 a 5 (1 sendo baixa e 5 sendo alta)
Volume de Dados Trafegados (C): 1 a 5 (1 sendo baixo e 5 sendo alto)
Faturamento em R$ de Cada Site (D): 1 a 5 (1 sendo baixo e 5 sendo alto)
Data de Instalação das Baterias (E): 1 a 5 (1 sendo mais antigo e 5 sendo mais recente)
Se o Site Atende a um Cliente VIP (F): 0 ou 5 (0 se não atende e 5 se atende)
3. Calcular a Pontuação Total
Crie uma fórmula para calcular a pontuação total para cada site. A fórmula pode ser algo como:
Pontuac¸​a˜o Total=</t>
    </r>
    <r>
      <rPr>
        <sz val="11"/>
        <color rgb="FFFF0000"/>
        <rFont val="Calibri"/>
        <family val="2"/>
        <scheme val="minor"/>
      </rPr>
      <t>(A×WA​)+(B×WB​)+(C×WC​)+(D×WD​)+(E×WE​)+(F×WF​)</t>
    </r>
    <r>
      <rPr>
        <sz val="11"/>
        <color theme="1"/>
        <rFont val="Calibri"/>
        <family val="2"/>
        <scheme val="minor"/>
      </rPr>
      <t xml:space="preserve">
Onde: 
WA  é o peso para a autonomia de bateria
WB é o peso para o volume e tempo de duração das quedas de energia
WC é o peso para o volume de dados trafegados
WD é o peso para o faturamento
WE é o peso para a data de instalação das baterias
WF é o peso para o cliente VIP
​
4. Exemplo de Definição de Pesos
Aqui está um exemplo de como você pode atribuir pesos às variáveis:
Autonomia de Bateria Existente em Horas (A): 15%
Volume e Tempo de Duração das Quedas de Energia (B): 20%
Volume de Dados Trafegados (C): 10%
Faturamento em R$ de Cada Site (D): 25%
Data de Instalação das Baterias (E): 15%
Se o Site Atende a um Cliente VIP (F): 15%
5. Construir a Matriz de Priorização
Com as variáveis pontuadas e os pesos definidos, você pode construir uma matriz onde cada linha representa um site e cada coluna representa uma variável. Preencha a matriz com as pontuações atribuídas e calcule a pontuação total para cada site.
Exemplo de Matriz:
Site	A (15%)	B (20%)	C (10%)	D (25%)	E (15%)	F (15%)	Pontuação Total
1	4	5	3	4	2	5	4.1
2	3	4	4	5	3	0	3.8
3	5	3	2	3	4	5	4.0
...	...	...	...	...	...	...	...
6. Tomar Decisões
Ordene os sites com base na pontuação total para identificar quais devem ter a prioridade mais alta para reposição de baterias.
Esse modelo ajuda a fornecer uma visão estruturada e quantitativa para a tomada de decisões, garantindo que as prioridades sejam alinhadas com os objetivos de negócios e a importância das diferentes variáveis.
A sugestão se baseia em uma combinação de metodologias conhecidas na área de tomada de decisão e análise de prioridades, incluindo:
</t>
    </r>
    <r>
      <rPr>
        <b/>
        <sz val="11"/>
        <color theme="1"/>
        <rFont val="Calibri"/>
        <family val="2"/>
        <scheme val="minor"/>
      </rPr>
      <t>Matriz de Priorização</t>
    </r>
    <r>
      <rPr>
        <sz val="11"/>
        <color theme="1"/>
        <rFont val="Calibri"/>
        <family val="2"/>
        <scheme val="minor"/>
      </rPr>
      <t xml:space="preserve"> (ou Matriz de Avaliação de Prioridades):
Método: Utiliza uma abordagem estruturada para avaliar e priorizar opções com base em múltiplos critérios. Esse método é frequentemente usado em gestão de projetos e planejamento estratégico.
Referência: Técnicas como a Matriz de Prioridade e a Matriz de Avaliação Multi-Critério (MCDM) são amplamente documentadas em literatura de gestão e engenharia.
</t>
    </r>
    <r>
      <rPr>
        <b/>
        <sz val="11"/>
        <color theme="1"/>
        <rFont val="Calibri"/>
        <family val="2"/>
        <scheme val="minor"/>
      </rPr>
      <t>Análise Multi-Critério (MCA) ou Análise de Decisão Multi-Critério (MCDM):</t>
    </r>
    <r>
      <rPr>
        <sz val="11"/>
        <color theme="1"/>
        <rFont val="Calibri"/>
        <family val="2"/>
        <scheme val="minor"/>
      </rPr>
      <t xml:space="preserve">
</t>
    </r>
    <r>
      <rPr>
        <b/>
        <sz val="11"/>
        <color theme="1"/>
        <rFont val="Calibri"/>
        <family val="2"/>
        <scheme val="minor"/>
      </rPr>
      <t xml:space="preserve">Método: MCA </t>
    </r>
    <r>
      <rPr>
        <sz val="11"/>
        <color theme="1"/>
        <rFont val="Calibri"/>
        <family val="2"/>
        <scheme val="minor"/>
      </rPr>
      <t>é uma abordagem que avalia e prioriza alternativas com base em múltiplos critérios que são ponderados de acordo com a sua importância.
Referência: Métodos de MCA, como o Processo de Análise Hierárquica (AHP) e o Método de Pontuação Ponderada, são amplamente utilizados em pesquisa de operações e tomada de decisão. AHP, desenvolvido por Saaty, é uma metodologia específica para lidar com decisões complexas com múltiplos critérios.
Método de Pontuação Ponderada:
Método: Atribui pesos a diferentes critérios e calcula uma pontuação total para cada opção ou alternativa.
Referência: Este método é bem estabelecido em técnicas de avaliação e gestão, com ampla aplicação em análise de risco e gestão de recursos.
Referências e Aplicações
Processo de Análise Hierárquica (AHP): Desenvolvido por Thomas Saaty, é um método para a tomada de decisão complexa e inclui a definição de critérios, a construção de uma hierarquia, e a avaliação de alternativas com base em uma matriz de comparação paritária.
Fonte: Saaty, T.L. (1980). The Analytic Hierarchy Process. McGraw-Hill.
Métodos de Análise Multi-Critério (MCDM): Esses métodos são utilizados para lidar com situações em que se deve tomar decisões baseadas em múltiplos critérios, ponderados de acordo com sua importância.
Fonte: von Neumann, J., &amp; Morgenstern, O. (1944). Theory of Games and Economic Behavior. Princeton University Press.
Matriz de Priorização: Embora não seja uma metodologia científica específica, é uma prática comum em gerenciamento de projetos e análise estratégica para avaliar e priorizar tarefas e recursos.
Fonte: Cooper, R.G. (2001). Winning at New Products: Creating Value Through Innovation. Basic Books.</t>
    </r>
  </si>
  <si>
    <t>Predios de centrais, BSC e RNC Remotas e GPON</t>
  </si>
  <si>
    <t>Estações que possuem equipamento de alta hierarquia( Centrais, MSS, plataformas, GPRS, MME, etc) BSCs/RNCs instaladas em container/predios de pequeno porte, sites GPON e estações que individualmente suportam transmissão dos equiopamentos mencionados acima</t>
  </si>
  <si>
    <t>Estações com roteadores IpRAN ou com repetidores MW&gt;=20 sites</t>
  </si>
  <si>
    <t>Estações concentradores que possuem roteadores IPRAN que isolam uma grande região em caso de falha ou repeditor de radio microondas por onde passam uma quantidade de sites maior ou igual a 20</t>
  </si>
  <si>
    <t>Estações concentradores com repetidores MW&lt;20sites</t>
  </si>
  <si>
    <t>Estações concentradoras com roteadores IpNodeB ou com radio microondas por onde passam uma quatidade de sites &lt;20</t>
  </si>
  <si>
    <t>Estações estratégicas e Monosites</t>
  </si>
  <si>
    <t>Estações que possuem sites que cobrem hospitais, aeropostos, regiões de alto trafego, etc, ou que são responsaveis por atender um municipio (monosites)</t>
  </si>
  <si>
    <t>Estações de ponta ou repetidores RF</t>
  </si>
  <si>
    <t>Estações que possuem sites que não isolam gurandes regiões/municipios ou com repetidores de RF instalados</t>
  </si>
  <si>
    <t>TABELA SEVIRIDADE SITES CONFORME POP-OPS-093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</si>
</sst>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sz val="11"/>
      <color rgb="FFFF0000"/>
      <name val="Calibri"/>
      <family val="2"/>
      <scheme val="minor"/>
    </font>
    <font>
      <sz val="11"/>
      <color theme="5"/>
      <name val="Calibri"/>
      <family val="2"/>
      <scheme val="minor"/>
    </font>
    <font>
      <sz val="11"/>
      <color rgb="FF00B050"/>
      <name val="Calibri"/>
      <family val="2"/>
      <scheme val="minor"/>
    </font>
    <font>
      <sz val="11"/>
      <color theme="1"/>
      <name val="Calibri"/>
      <family val="2"/>
      <scheme val="minor"/>
    </font>
    <font>
      <b/>
      <sz val="11"/>
      <color theme="1"/>
      <name val="Calibri"/>
      <family val="2"/>
      <scheme val="minor"/>
    </font>
    <font>
      <sz val="18"/>
      <name val="Arial"/>
      <family val="2"/>
    </font>
    <font>
      <b/>
      <sz val="7"/>
      <color rgb="FFFFFFFF"/>
      <name val="AMX"/>
    </font>
    <font>
      <sz val="11"/>
      <color rgb="FF000000"/>
      <name val="AMX"/>
    </font>
    <font>
      <sz val="7"/>
      <color rgb="FF000000"/>
      <name val="AMX"/>
    </font>
    <font>
      <sz val="6"/>
      <color rgb="FFE23236"/>
      <name val="AMX"/>
    </font>
    <font>
      <sz val="6"/>
      <color rgb="FF000000"/>
      <name val="AMX"/>
    </font>
    <font>
      <sz val="6"/>
      <color rgb="FFFF0000"/>
      <name val="AMX"/>
    </font>
    <font>
      <sz val="7"/>
      <name val="AMX"/>
    </font>
    <font>
      <sz val="5"/>
      <color rgb="FF000000"/>
      <name val="AMX"/>
    </font>
    <font>
      <sz val="8"/>
      <name val="Calibri"/>
      <family val="2"/>
      <scheme val="minor"/>
    </font>
    <font>
      <sz val="8"/>
      <color theme="1"/>
      <name val="Calibri"/>
      <family val="2"/>
      <scheme val="minor"/>
    </font>
    <font>
      <sz val="9"/>
      <color theme="1"/>
      <name val="Calibri"/>
      <family val="2"/>
      <scheme val="minor"/>
    </font>
    <font>
      <sz val="8"/>
      <color rgb="FFFF0000"/>
      <name val="Calibri"/>
      <family val="2"/>
      <scheme val="minor"/>
    </font>
  </fonts>
  <fills count="12">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rgb="FF00B05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000000"/>
        <bgColor indexed="64"/>
      </patternFill>
    </fill>
    <fill>
      <patternFill patternType="solid">
        <fgColor rgb="FF002060"/>
        <bgColor indexed="64"/>
      </patternFill>
    </fill>
    <fill>
      <patternFill patternType="solid">
        <fgColor rgb="FFC00000"/>
        <bgColor indexed="64"/>
      </patternFill>
    </fill>
  </fills>
  <borders count="4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left style="thin">
        <color indexed="64"/>
      </left>
      <right/>
      <top/>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dotted">
        <color rgb="FF000000"/>
      </right>
      <top/>
      <bottom style="dotted">
        <color rgb="FF000000"/>
      </bottom>
      <diagonal/>
    </border>
    <border>
      <left style="dotted">
        <color rgb="FF000000"/>
      </left>
      <right style="dotted">
        <color rgb="FF000000"/>
      </right>
      <top/>
      <bottom style="dotted">
        <color rgb="FF000000"/>
      </bottom>
      <diagonal/>
    </border>
    <border>
      <left style="dotted">
        <color rgb="FF000000"/>
      </left>
      <right/>
      <top/>
      <bottom/>
      <diagonal/>
    </border>
    <border>
      <left style="dotted">
        <color rgb="FF000000"/>
      </left>
      <right style="dotted">
        <color rgb="FF000000"/>
      </right>
      <top/>
      <bottom/>
      <diagonal/>
    </border>
    <border>
      <left style="dotted">
        <color rgb="FF000000"/>
      </left>
      <right style="dotted">
        <color rgb="FF000000"/>
      </right>
      <top style="thin">
        <color rgb="FF000000"/>
      </top>
      <bottom style="dotted">
        <color rgb="FF000000"/>
      </bottom>
      <diagonal/>
    </border>
    <border>
      <left style="dotted">
        <color rgb="FF000000"/>
      </left>
      <right/>
      <top style="thin">
        <color rgb="FF000000"/>
      </top>
      <bottom style="dotted">
        <color rgb="FF000000"/>
      </bottom>
      <diagonal/>
    </border>
    <border>
      <left style="dotted">
        <color rgb="FF000000"/>
      </left>
      <right style="dotted">
        <color rgb="FF000000"/>
      </right>
      <top style="dotted">
        <color rgb="FF000000"/>
      </top>
      <bottom/>
      <diagonal/>
    </border>
    <border>
      <left/>
      <right/>
      <top style="dotted">
        <color rgb="FF000000"/>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4" fillId="0" borderId="0" applyFont="0" applyFill="0" applyBorder="0" applyAlignment="0" applyProtection="0"/>
  </cellStyleXfs>
  <cellXfs count="112">
    <xf numFmtId="0" fontId="0" fillId="0" borderId="0" xfId="0"/>
    <xf numFmtId="0" fontId="0" fillId="0" borderId="0" xfId="0" applyAlignment="1">
      <alignment horizontal="center" vertical="center"/>
    </xf>
    <xf numFmtId="0" fontId="0" fillId="0" borderId="2" xfId="0" applyBorder="1" applyAlignment="1">
      <alignment horizontal="center" vertical="center"/>
    </xf>
    <xf numFmtId="0" fontId="2" fillId="0" borderId="3" xfId="0" applyFont="1" applyBorder="1" applyAlignment="1">
      <alignment horizontal="center" vertical="center"/>
    </xf>
    <xf numFmtId="0" fontId="3" fillId="0" borderId="0" xfId="0" applyFont="1" applyAlignment="1">
      <alignment horizontal="center" vertical="center"/>
    </xf>
    <xf numFmtId="0" fontId="2" fillId="0" borderId="5" xfId="0" applyFont="1" applyBorder="1" applyAlignment="1">
      <alignment horizontal="center" vertical="center"/>
    </xf>
    <xf numFmtId="0" fontId="0" fillId="0" borderId="0" xfId="0" applyAlignment="1">
      <alignment horizontal="left" vertical="center"/>
    </xf>
    <xf numFmtId="0" fontId="1" fillId="0" borderId="7" xfId="0" applyFont="1" applyBorder="1" applyAlignment="1">
      <alignment horizontal="center" vertical="center"/>
    </xf>
    <xf numFmtId="0" fontId="0" fillId="0" borderId="7" xfId="0" applyBorder="1" applyAlignment="1">
      <alignment horizontal="center" vertical="center"/>
    </xf>
    <xf numFmtId="0" fontId="2" fillId="0" borderId="8" xfId="0" applyFont="1" applyBorder="1" applyAlignment="1">
      <alignment horizontal="center" vertical="center"/>
    </xf>
    <xf numFmtId="0" fontId="1" fillId="0" borderId="0" xfId="0" applyFont="1"/>
    <xf numFmtId="0" fontId="1" fillId="0" borderId="0" xfId="0" applyFont="1" applyAlignment="1">
      <alignment horizontal="left" vertical="center"/>
    </xf>
    <xf numFmtId="0" fontId="1" fillId="0" borderId="0" xfId="0" applyFont="1" applyAlignment="1">
      <alignment horizontal="center" vertical="center"/>
    </xf>
    <xf numFmtId="0" fontId="3" fillId="0" borderId="2" xfId="0" applyFont="1" applyBorder="1" applyAlignment="1">
      <alignment horizontal="center"/>
    </xf>
    <xf numFmtId="0" fontId="0" fillId="0" borderId="1" xfId="0" applyBorder="1"/>
    <xf numFmtId="0" fontId="0" fillId="0" borderId="3" xfId="0" applyBorder="1"/>
    <xf numFmtId="0" fontId="0" fillId="0" borderId="6" xfId="0" applyBorder="1"/>
    <xf numFmtId="0" fontId="0" fillId="0" borderId="8" xfId="0" applyBorder="1"/>
    <xf numFmtId="0" fontId="0" fillId="0" borderId="0" xfId="0" applyAlignment="1">
      <alignment wrapText="1"/>
    </xf>
    <xf numFmtId="0" fontId="0" fillId="0" borderId="9" xfId="0" applyBorder="1"/>
    <xf numFmtId="0" fontId="0" fillId="0" borderId="9" xfId="0" applyBorder="1" applyAlignment="1">
      <alignment horizontal="center" vertical="center"/>
    </xf>
    <xf numFmtId="0" fontId="0" fillId="0" borderId="9" xfId="0" applyBorder="1" applyAlignment="1">
      <alignment wrapText="1"/>
    </xf>
    <xf numFmtId="0" fontId="0" fillId="0" borderId="10" xfId="0" applyBorder="1"/>
    <xf numFmtId="0" fontId="0" fillId="0" borderId="9" xfId="0" applyBorder="1" applyAlignment="1">
      <alignment horizontal="left" wrapText="1"/>
    </xf>
    <xf numFmtId="0" fontId="0" fillId="0" borderId="9" xfId="0" applyBorder="1" applyAlignment="1">
      <alignment horizontal="left"/>
    </xf>
    <xf numFmtId="0" fontId="0" fillId="2" borderId="9" xfId="0" applyFill="1" applyBorder="1" applyAlignment="1">
      <alignment wrapText="1"/>
    </xf>
    <xf numFmtId="0" fontId="0" fillId="2" borderId="9" xfId="0" applyFill="1" applyBorder="1" applyAlignment="1">
      <alignment horizontal="left" wrapText="1"/>
    </xf>
    <xf numFmtId="0" fontId="0" fillId="0" borderId="11" xfId="0" applyBorder="1"/>
    <xf numFmtId="0" fontId="0" fillId="0" borderId="12" xfId="0" applyBorder="1"/>
    <xf numFmtId="0" fontId="0" fillId="4" borderId="10" xfId="0" applyFill="1" applyBorder="1" applyAlignment="1">
      <alignment horizontal="center" vertical="center"/>
    </xf>
    <xf numFmtId="0" fontId="0" fillId="0" borderId="13" xfId="0" applyBorder="1"/>
    <xf numFmtId="0" fontId="0" fillId="0" borderId="15" xfId="0" applyBorder="1" applyAlignment="1">
      <alignment wrapText="1"/>
    </xf>
    <xf numFmtId="0" fontId="0" fillId="0" borderId="16" xfId="0" applyBorder="1"/>
    <xf numFmtId="0" fontId="0" fillId="0" borderId="17" xfId="0" applyBorder="1"/>
    <xf numFmtId="0" fontId="0" fillId="5" borderId="0" xfId="0" applyFill="1"/>
    <xf numFmtId="0" fontId="0" fillId="5" borderId="10" xfId="0" applyFill="1" applyBorder="1"/>
    <xf numFmtId="0" fontId="0" fillId="5" borderId="10" xfId="0" applyFill="1" applyBorder="1" applyAlignment="1">
      <alignment horizontal="center" vertical="center"/>
    </xf>
    <xf numFmtId="0" fontId="0" fillId="0" borderId="19" xfId="0" applyBorder="1"/>
    <xf numFmtId="9" fontId="0" fillId="0" borderId="9" xfId="1" applyFont="1" applyBorder="1" applyAlignment="1">
      <alignment horizontal="center" vertical="center"/>
    </xf>
    <xf numFmtId="9" fontId="0" fillId="0" borderId="10" xfId="1" applyFont="1" applyBorder="1" applyAlignment="1">
      <alignment horizontal="center" vertical="center"/>
    </xf>
    <xf numFmtId="9" fontId="0" fillId="3" borderId="0" xfId="1" applyFont="1" applyFill="1" applyAlignment="1">
      <alignment horizontal="center" vertical="center"/>
    </xf>
    <xf numFmtId="0" fontId="0" fillId="5" borderId="0" xfId="0" applyFill="1" applyAlignment="1">
      <alignment horizontal="center" vertical="center"/>
    </xf>
    <xf numFmtId="0" fontId="0" fillId="0" borderId="14" xfId="0" applyBorder="1" applyAlignment="1">
      <alignment horizontal="left" vertical="center"/>
    </xf>
    <xf numFmtId="0" fontId="0" fillId="0" borderId="9" xfId="0" applyBorder="1" applyAlignment="1">
      <alignment horizontal="left" vertical="center"/>
    </xf>
    <xf numFmtId="0" fontId="0" fillId="0" borderId="10" xfId="0" applyBorder="1" applyAlignment="1">
      <alignment horizontal="left" vertical="center"/>
    </xf>
    <xf numFmtId="0" fontId="0" fillId="7" borderId="10" xfId="0" applyFill="1" applyBorder="1" applyAlignment="1">
      <alignment horizontal="left" vertical="center" wrapText="1"/>
    </xf>
    <xf numFmtId="0" fontId="8" fillId="0" borderId="21" xfId="0" applyFont="1" applyBorder="1" applyAlignment="1">
      <alignment horizontal="left" wrapText="1" readingOrder="1"/>
    </xf>
    <xf numFmtId="0" fontId="6" fillId="0" borderId="21" xfId="0" applyFont="1" applyBorder="1" applyAlignment="1">
      <alignment wrapText="1"/>
    </xf>
    <xf numFmtId="0" fontId="6" fillId="0" borderId="25" xfId="0" applyFont="1" applyBorder="1" applyAlignment="1">
      <alignment wrapText="1"/>
    </xf>
    <xf numFmtId="0" fontId="7" fillId="10" borderId="26" xfId="0" applyFont="1" applyFill="1" applyBorder="1" applyAlignment="1">
      <alignment horizontal="center" vertical="center" wrapText="1" readingOrder="1"/>
    </xf>
    <xf numFmtId="0" fontId="7" fillId="10" borderId="27" xfId="0" applyFont="1" applyFill="1" applyBorder="1" applyAlignment="1">
      <alignment horizontal="center" vertical="center" wrapText="1" readingOrder="1"/>
    </xf>
    <xf numFmtId="0" fontId="8" fillId="0" borderId="28" xfId="0" applyFont="1" applyBorder="1" applyAlignment="1">
      <alignment horizontal="left" wrapText="1" readingOrder="1"/>
    </xf>
    <xf numFmtId="0" fontId="8" fillId="0" borderId="29" xfId="0" applyFont="1" applyBorder="1" applyAlignment="1">
      <alignment horizontal="left" wrapText="1" readingOrder="1"/>
    </xf>
    <xf numFmtId="0" fontId="7" fillId="10" borderId="30" xfId="0" applyFont="1" applyFill="1" applyBorder="1" applyAlignment="1">
      <alignment horizontal="center" vertical="center" wrapText="1" readingOrder="1"/>
    </xf>
    <xf numFmtId="0" fontId="7" fillId="10" borderId="31" xfId="0" applyFont="1" applyFill="1" applyBorder="1" applyAlignment="1">
      <alignment horizontal="center" vertical="center" wrapText="1" readingOrder="1"/>
    </xf>
    <xf numFmtId="0" fontId="6" fillId="0" borderId="0" xfId="0" applyFont="1" applyAlignment="1">
      <alignment wrapText="1"/>
    </xf>
    <xf numFmtId="0" fontId="9" fillId="0" borderId="32" xfId="0" applyFont="1" applyBorder="1" applyAlignment="1">
      <alignment horizontal="center" vertical="center" wrapText="1" readingOrder="1"/>
    </xf>
    <xf numFmtId="0" fontId="9" fillId="0" borderId="27" xfId="0" applyFont="1" applyBorder="1" applyAlignment="1">
      <alignment horizontal="center" vertical="center" wrapText="1" readingOrder="1"/>
    </xf>
    <xf numFmtId="0" fontId="0" fillId="8" borderId="10" xfId="0" applyFill="1" applyBorder="1" applyAlignment="1">
      <alignment horizontal="left" vertical="center" wrapText="1"/>
    </xf>
    <xf numFmtId="9" fontId="0" fillId="0" borderId="0" xfId="0" applyNumberFormat="1" applyAlignment="1">
      <alignment horizontal="center" vertical="center"/>
    </xf>
    <xf numFmtId="0" fontId="0" fillId="7" borderId="9" xfId="0" applyFill="1" applyBorder="1" applyAlignment="1">
      <alignment horizontal="center" vertical="center"/>
    </xf>
    <xf numFmtId="0" fontId="0" fillId="0" borderId="9" xfId="0" applyBorder="1" applyAlignment="1">
      <alignment horizontal="right"/>
    </xf>
    <xf numFmtId="9" fontId="0" fillId="0" borderId="9" xfId="0" applyNumberFormat="1" applyBorder="1" applyAlignment="1">
      <alignment horizontal="center" vertical="center"/>
    </xf>
    <xf numFmtId="0" fontId="16" fillId="0" borderId="0" xfId="0" applyFont="1" applyAlignment="1">
      <alignment vertical="top"/>
    </xf>
    <xf numFmtId="0" fontId="17" fillId="0" borderId="0" xfId="0" applyFont="1"/>
    <xf numFmtId="0" fontId="18" fillId="0" borderId="0" xfId="0" applyFont="1" applyAlignment="1">
      <alignment vertical="top" wrapText="1"/>
    </xf>
    <xf numFmtId="0" fontId="0" fillId="0" borderId="2" xfId="0" applyBorder="1"/>
    <xf numFmtId="0" fontId="0" fillId="0" borderId="7" xfId="0" applyBorder="1"/>
    <xf numFmtId="0" fontId="9" fillId="0" borderId="29" xfId="0" applyFont="1" applyBorder="1" applyAlignment="1">
      <alignment horizontal="center" vertical="center" wrapText="1" readingOrder="1"/>
    </xf>
    <xf numFmtId="0" fontId="0" fillId="0" borderId="38" xfId="0" applyBorder="1" applyAlignment="1">
      <alignment horizontal="center"/>
    </xf>
    <xf numFmtId="0" fontId="0" fillId="0" borderId="39" xfId="0" applyBorder="1" applyAlignment="1">
      <alignment horizontal="center"/>
    </xf>
    <xf numFmtId="0" fontId="0" fillId="0" borderId="40" xfId="0" applyBorder="1" applyAlignment="1">
      <alignment horizontal="center"/>
    </xf>
    <xf numFmtId="0" fontId="0" fillId="0" borderId="13" xfId="0" applyBorder="1" applyAlignment="1">
      <alignment horizontal="left" vertical="top" wrapText="1"/>
    </xf>
    <xf numFmtId="0" fontId="0" fillId="0" borderId="9" xfId="0" applyBorder="1" applyAlignment="1">
      <alignment horizontal="left" vertical="top" wrapText="1"/>
    </xf>
    <xf numFmtId="0" fontId="9" fillId="0" borderId="32" xfId="0" applyFont="1" applyBorder="1" applyAlignment="1">
      <alignment horizontal="center" vertical="center" wrapText="1" readingOrder="1"/>
    </xf>
    <xf numFmtId="0" fontId="9" fillId="0" borderId="27" xfId="0" applyFont="1" applyBorder="1" applyAlignment="1">
      <alignment horizontal="center" vertical="center" wrapText="1" readingOrder="1"/>
    </xf>
    <xf numFmtId="0" fontId="0" fillId="3" borderId="0" xfId="0" applyFill="1" applyAlignment="1">
      <alignment horizontal="center"/>
    </xf>
    <xf numFmtId="0" fontId="0" fillId="6" borderId="0" xfId="0" applyFill="1" applyAlignment="1">
      <alignment horizontal="center"/>
    </xf>
    <xf numFmtId="0" fontId="7" fillId="9" borderId="20" xfId="0" applyFont="1" applyFill="1" applyBorder="1" applyAlignment="1">
      <alignment horizontal="center" vertical="center" wrapText="1" readingOrder="1"/>
    </xf>
    <xf numFmtId="0" fontId="7" fillId="9" borderId="0" xfId="0" applyFont="1" applyFill="1" applyAlignment="1">
      <alignment horizontal="center" vertical="center" wrapText="1" readingOrder="1"/>
    </xf>
    <xf numFmtId="0" fontId="0" fillId="0" borderId="9" xfId="0" applyBorder="1" applyAlignment="1">
      <alignment horizontal="center"/>
    </xf>
    <xf numFmtId="0" fontId="0" fillId="0" borderId="37" xfId="0" applyBorder="1" applyAlignment="1">
      <alignment horizontal="center" vertical="center"/>
    </xf>
    <xf numFmtId="0" fontId="7" fillId="9" borderId="22" xfId="0" applyFont="1" applyFill="1" applyBorder="1" applyAlignment="1">
      <alignment horizontal="center" vertical="center" wrapText="1" readingOrder="1"/>
    </xf>
    <xf numFmtId="0" fontId="7" fillId="9" borderId="23" xfId="0" applyFont="1" applyFill="1" applyBorder="1" applyAlignment="1">
      <alignment horizontal="center" vertical="center" wrapText="1" readingOrder="1"/>
    </xf>
    <xf numFmtId="0" fontId="7" fillId="9" borderId="24" xfId="0" applyFont="1" applyFill="1" applyBorder="1" applyAlignment="1">
      <alignment horizontal="center" vertical="center" wrapText="1" readingOrder="1"/>
    </xf>
    <xf numFmtId="0" fontId="9" fillId="0" borderId="29" xfId="0" applyFont="1" applyBorder="1" applyAlignment="1">
      <alignment horizontal="center" vertical="center" wrapText="1" readingOrder="1"/>
    </xf>
    <xf numFmtId="0" fontId="8" fillId="0" borderId="29" xfId="0" applyFont="1" applyBorder="1" applyAlignment="1">
      <alignment horizontal="left" wrapText="1" readingOrder="1"/>
    </xf>
    <xf numFmtId="0" fontId="6" fillId="0" borderId="29" xfId="0" applyFont="1" applyBorder="1" applyAlignment="1">
      <alignment wrapText="1"/>
    </xf>
    <xf numFmtId="0" fontId="7" fillId="11" borderId="20" xfId="0" applyFont="1" applyFill="1" applyBorder="1" applyAlignment="1">
      <alignment horizontal="center" vertical="center" wrapText="1" readingOrder="1"/>
    </xf>
    <xf numFmtId="0" fontId="7" fillId="11" borderId="0" xfId="0" applyFont="1" applyFill="1" applyAlignment="1">
      <alignment horizontal="center" vertical="center" wrapText="1" readingOrder="1"/>
    </xf>
    <xf numFmtId="0" fontId="13" fillId="0" borderId="32" xfId="0" applyFont="1" applyBorder="1" applyAlignment="1">
      <alignment horizontal="center" vertical="center" wrapText="1" readingOrder="1"/>
    </xf>
    <xf numFmtId="0" fontId="13" fillId="0" borderId="27" xfId="0" applyFont="1" applyBorder="1" applyAlignment="1">
      <alignment horizontal="center" vertical="center" wrapText="1" readingOrder="1"/>
    </xf>
    <xf numFmtId="0" fontId="14" fillId="0" borderId="32" xfId="0" applyFont="1" applyBorder="1" applyAlignment="1">
      <alignment horizontal="center" vertical="center" wrapText="1" readingOrder="1"/>
    </xf>
    <xf numFmtId="0" fontId="14" fillId="0" borderId="27" xfId="0" applyFont="1" applyBorder="1" applyAlignment="1">
      <alignment horizontal="center" vertical="center" wrapText="1" readingOrder="1"/>
    </xf>
    <xf numFmtId="0" fontId="18" fillId="0" borderId="33" xfId="0" applyFont="1" applyBorder="1" applyAlignment="1">
      <alignment horizontal="left" vertical="top" wrapText="1"/>
    </xf>
    <xf numFmtId="0" fontId="0" fillId="8" borderId="34" xfId="0" applyFill="1" applyBorder="1" applyAlignment="1">
      <alignment horizontal="center" vertical="center" wrapText="1"/>
    </xf>
    <xf numFmtId="0" fontId="0" fillId="8" borderId="35" xfId="0" applyFill="1" applyBorder="1" applyAlignment="1">
      <alignment horizontal="center" vertical="center" wrapText="1"/>
    </xf>
    <xf numFmtId="9" fontId="0" fillId="0" borderId="36" xfId="0" applyNumberFormat="1" applyBorder="1" applyAlignment="1">
      <alignment horizontal="center" vertical="center"/>
    </xf>
    <xf numFmtId="9" fontId="0" fillId="0" borderId="11" xfId="0" applyNumberFormat="1" applyBorder="1" applyAlignment="1">
      <alignment horizontal="center" vertical="center"/>
    </xf>
    <xf numFmtId="0" fontId="0" fillId="3" borderId="0" xfId="0" applyFill="1" applyAlignment="1">
      <alignment horizontal="center" vertical="center" textRotation="180" wrapText="1"/>
    </xf>
    <xf numFmtId="0" fontId="0" fillId="6" borderId="0" xfId="0" applyFill="1" applyAlignment="1">
      <alignment horizontal="center" vertical="center" textRotation="180"/>
    </xf>
    <xf numFmtId="0" fontId="0" fillId="0" borderId="0" xfId="0" applyAlignment="1">
      <alignment horizontal="left" vertical="top" wrapText="1"/>
    </xf>
    <xf numFmtId="0" fontId="0" fillId="0" borderId="1" xfId="0" applyBorder="1" applyAlignment="1">
      <alignment horizontal="center" wrapText="1"/>
    </xf>
    <xf numFmtId="0" fontId="0" fillId="0" borderId="4" xfId="0" applyBorder="1" applyAlignment="1">
      <alignment horizontal="center" wrapText="1"/>
    </xf>
    <xf numFmtId="0" fontId="0" fillId="0" borderId="6" xfId="0" applyBorder="1" applyAlignment="1">
      <alignment horizontal="center" wrapText="1"/>
    </xf>
    <xf numFmtId="0" fontId="0" fillId="0" borderId="2" xfId="0" applyBorder="1" applyAlignment="1">
      <alignment horizontal="center" vertical="center"/>
    </xf>
    <xf numFmtId="0" fontId="0" fillId="0" borderId="7" xfId="0" applyBorder="1" applyAlignment="1">
      <alignment horizontal="center"/>
    </xf>
    <xf numFmtId="0" fontId="0" fillId="3" borderId="9" xfId="0" applyFill="1" applyBorder="1" applyAlignment="1">
      <alignment horizontal="center" vertical="center" textRotation="90" wrapText="1"/>
    </xf>
    <xf numFmtId="0" fontId="0" fillId="3" borderId="10" xfId="0" applyFill="1" applyBorder="1" applyAlignment="1">
      <alignment horizontal="center" vertical="center" textRotation="90" wrapText="1"/>
    </xf>
    <xf numFmtId="0" fontId="0" fillId="0" borderId="10" xfId="0" applyBorder="1" applyAlignment="1">
      <alignment horizontal="center" vertical="center" textRotation="90" wrapText="1"/>
    </xf>
    <xf numFmtId="0" fontId="0" fillId="0" borderId="18" xfId="0" applyBorder="1" applyAlignment="1">
      <alignment horizontal="center" vertical="center" textRotation="90" wrapText="1"/>
    </xf>
    <xf numFmtId="0" fontId="0" fillId="0" borderId="13" xfId="0" applyBorder="1" applyAlignment="1">
      <alignment horizontal="center" vertical="center" textRotation="90" wrapText="1"/>
    </xf>
  </cellXfs>
  <cellStyles count="2">
    <cellStyle name="Normal" xfId="0" builtinId="0"/>
    <cellStyle name="Porcentagem"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66514-A6B8-4266-9E66-D24F660C3913}">
  <sheetPr>
    <tabColor rgb="FF00B050"/>
  </sheetPr>
  <dimension ref="B1:AV45"/>
  <sheetViews>
    <sheetView showGridLines="0" tabSelected="1" topLeftCell="W14" zoomScaleNormal="100" workbookViewId="0">
      <selection activeCell="G7" sqref="G7"/>
    </sheetView>
  </sheetViews>
  <sheetFormatPr defaultRowHeight="14.5"/>
  <cols>
    <col min="2" max="2" width="24.90625" bestFit="1" customWidth="1"/>
    <col min="3" max="11" width="11.36328125" customWidth="1"/>
    <col min="13" max="13" width="3.08984375" customWidth="1"/>
    <col min="17" max="17" width="1.81640625" customWidth="1"/>
    <col min="18" max="20" width="0" hidden="1" customWidth="1"/>
    <col min="21" max="21" width="1.36328125" customWidth="1"/>
    <col min="25" max="25" width="2.7265625" customWidth="1"/>
    <col min="29" max="29" width="2.7265625" customWidth="1"/>
    <col min="33" max="33" width="2.7265625" customWidth="1"/>
    <col min="37" max="37" width="2.7265625" customWidth="1"/>
    <col min="41" max="41" width="2.7265625" customWidth="1"/>
  </cols>
  <sheetData>
    <row r="1" spans="2:48">
      <c r="C1" s="77" t="s">
        <v>91</v>
      </c>
      <c r="D1" s="77"/>
      <c r="E1" s="77"/>
      <c r="F1" s="77"/>
      <c r="G1" s="77"/>
      <c r="H1" s="77"/>
      <c r="I1" s="77"/>
      <c r="J1" s="77"/>
      <c r="K1" s="77"/>
    </row>
    <row r="2" spans="2:48">
      <c r="C2" s="76" t="s">
        <v>90</v>
      </c>
      <c r="D2" s="76"/>
      <c r="E2" s="76"/>
      <c r="F2" s="76"/>
      <c r="G2" s="76"/>
    </row>
    <row r="3" spans="2:48" s="18" customFormat="1" ht="101.5">
      <c r="C3" s="95" t="s">
        <v>202</v>
      </c>
      <c r="D3" s="96"/>
      <c r="E3" s="45" t="s">
        <v>35</v>
      </c>
      <c r="F3" s="58" t="s">
        <v>93</v>
      </c>
      <c r="G3" s="45" t="s">
        <v>170</v>
      </c>
      <c r="H3" s="45" t="s">
        <v>85</v>
      </c>
      <c r="I3" s="45" t="s">
        <v>42</v>
      </c>
      <c r="J3" s="58" t="s">
        <v>218</v>
      </c>
      <c r="K3" s="45" t="s">
        <v>48</v>
      </c>
      <c r="M3" s="99" t="s">
        <v>199</v>
      </c>
      <c r="N3" s="78" t="s">
        <v>99</v>
      </c>
      <c r="O3" s="79"/>
      <c r="P3" s="79"/>
      <c r="Q3" s="46"/>
      <c r="R3" s="78" t="s">
        <v>100</v>
      </c>
      <c r="S3" s="79"/>
      <c r="T3" s="79"/>
      <c r="U3" s="46"/>
      <c r="V3" s="78" t="s">
        <v>101</v>
      </c>
      <c r="W3" s="79"/>
      <c r="X3" s="79"/>
      <c r="Y3" s="47"/>
      <c r="Z3" s="82" t="s">
        <v>102</v>
      </c>
      <c r="AA3" s="83"/>
      <c r="AB3" s="84"/>
      <c r="AC3" s="48"/>
      <c r="AD3" s="78" t="s">
        <v>103</v>
      </c>
      <c r="AE3" s="79"/>
      <c r="AF3" s="79"/>
    </row>
    <row r="4" spans="2:48" ht="30">
      <c r="B4" s="21" t="s">
        <v>201</v>
      </c>
      <c r="C4" s="97">
        <v>0.18</v>
      </c>
      <c r="D4" s="98"/>
      <c r="E4" s="62">
        <v>0.03</v>
      </c>
      <c r="F4" s="62">
        <v>0.25</v>
      </c>
      <c r="G4" s="62">
        <v>0.11</v>
      </c>
      <c r="H4" s="62">
        <v>0.15</v>
      </c>
      <c r="I4" s="62">
        <v>0.09</v>
      </c>
      <c r="J4" s="62">
        <v>0.13</v>
      </c>
      <c r="K4" s="62">
        <v>0.06</v>
      </c>
      <c r="L4" s="59">
        <f>SUM(C4:K4)</f>
        <v>1</v>
      </c>
      <c r="M4" s="99"/>
      <c r="N4" s="49" t="s">
        <v>104</v>
      </c>
      <c r="O4" s="50" t="s">
        <v>105</v>
      </c>
      <c r="P4" s="50" t="s">
        <v>106</v>
      </c>
      <c r="Q4" s="51"/>
      <c r="R4" s="49" t="s">
        <v>104</v>
      </c>
      <c r="S4" s="50" t="s">
        <v>107</v>
      </c>
      <c r="T4" s="50" t="s">
        <v>108</v>
      </c>
      <c r="U4" s="51"/>
      <c r="V4" s="49" t="s">
        <v>109</v>
      </c>
      <c r="W4" s="50" t="s">
        <v>110</v>
      </c>
      <c r="X4" s="50" t="s">
        <v>106</v>
      </c>
      <c r="Y4" s="52"/>
      <c r="Z4" s="53" t="s">
        <v>111</v>
      </c>
      <c r="AA4" s="53" t="s">
        <v>112</v>
      </c>
      <c r="AB4" s="54" t="s">
        <v>113</v>
      </c>
      <c r="AC4" s="55"/>
      <c r="AD4" s="49" t="s">
        <v>104</v>
      </c>
      <c r="AE4" s="50" t="s">
        <v>114</v>
      </c>
      <c r="AF4" s="50" t="s">
        <v>115</v>
      </c>
    </row>
    <row r="5" spans="2:48" ht="18" customHeight="1">
      <c r="B5" t="s">
        <v>215</v>
      </c>
      <c r="C5" s="81" t="s">
        <v>208</v>
      </c>
      <c r="D5" s="81"/>
      <c r="E5" s="1" t="s">
        <v>214</v>
      </c>
      <c r="F5" s="1" t="s">
        <v>207</v>
      </c>
      <c r="G5" s="1" t="s">
        <v>211</v>
      </c>
      <c r="H5" s="1" t="s">
        <v>209</v>
      </c>
      <c r="I5" s="1" t="s">
        <v>212</v>
      </c>
      <c r="J5" s="1" t="s">
        <v>210</v>
      </c>
      <c r="K5" s="1" t="s">
        <v>213</v>
      </c>
      <c r="M5" s="99"/>
      <c r="N5" s="56" t="s">
        <v>116</v>
      </c>
      <c r="O5" s="74">
        <v>5</v>
      </c>
      <c r="P5" s="74" t="s">
        <v>118</v>
      </c>
      <c r="Q5" s="86"/>
      <c r="R5" s="56" t="s">
        <v>116</v>
      </c>
      <c r="S5" s="74">
        <v>5</v>
      </c>
      <c r="T5" s="74" t="s">
        <v>119</v>
      </c>
      <c r="U5" s="86"/>
      <c r="V5" s="74" t="s">
        <v>116</v>
      </c>
      <c r="W5" s="74">
        <v>5</v>
      </c>
      <c r="X5" s="74" t="s">
        <v>120</v>
      </c>
      <c r="Y5" s="86"/>
      <c r="Z5" s="74" t="s">
        <v>121</v>
      </c>
      <c r="AA5" s="74">
        <v>1</v>
      </c>
      <c r="AB5" s="74" t="s">
        <v>122</v>
      </c>
      <c r="AC5" s="87"/>
      <c r="AD5" s="56" t="s">
        <v>116</v>
      </c>
      <c r="AE5" s="74">
        <v>10</v>
      </c>
      <c r="AF5" s="74" t="s">
        <v>123</v>
      </c>
    </row>
    <row r="6" spans="2:48" ht="18">
      <c r="M6" s="99"/>
      <c r="N6" s="57" t="s">
        <v>117</v>
      </c>
      <c r="O6" s="75"/>
      <c r="P6" s="75"/>
      <c r="Q6" s="86"/>
      <c r="R6" s="57" t="s">
        <v>117</v>
      </c>
      <c r="S6" s="75"/>
      <c r="T6" s="75"/>
      <c r="U6" s="86"/>
      <c r="V6" s="75"/>
      <c r="W6" s="75"/>
      <c r="X6" s="75"/>
      <c r="Y6" s="86"/>
      <c r="Z6" s="75"/>
      <c r="AA6" s="75"/>
      <c r="AB6" s="75"/>
      <c r="AC6" s="87"/>
      <c r="AD6" s="57" t="s">
        <v>117</v>
      </c>
      <c r="AE6" s="75"/>
      <c r="AF6" s="75"/>
    </row>
    <row r="7" spans="2:48" ht="47.5" customHeight="1">
      <c r="M7" s="99"/>
      <c r="N7" s="56" t="s">
        <v>124</v>
      </c>
      <c r="O7" s="74">
        <v>4</v>
      </c>
      <c r="P7" s="74" t="s">
        <v>126</v>
      </c>
      <c r="Q7" s="85"/>
      <c r="R7" s="56" t="s">
        <v>124</v>
      </c>
      <c r="S7" s="74">
        <v>4</v>
      </c>
      <c r="T7" s="74" t="s">
        <v>127</v>
      </c>
      <c r="U7" s="86"/>
      <c r="V7" s="74" t="s">
        <v>124</v>
      </c>
      <c r="W7" s="74">
        <v>4</v>
      </c>
      <c r="X7" s="74" t="s">
        <v>128</v>
      </c>
      <c r="Y7" s="86"/>
      <c r="Z7" s="74" t="s">
        <v>129</v>
      </c>
      <c r="AA7" s="74">
        <v>0.9</v>
      </c>
      <c r="AB7" s="74" t="s">
        <v>130</v>
      </c>
      <c r="AC7" s="87"/>
      <c r="AD7" s="56" t="s">
        <v>124</v>
      </c>
      <c r="AE7" s="74">
        <v>8</v>
      </c>
      <c r="AF7" s="74" t="s">
        <v>131</v>
      </c>
    </row>
    <row r="8" spans="2:48">
      <c r="M8" s="99"/>
      <c r="N8" s="57" t="s">
        <v>125</v>
      </c>
      <c r="O8" s="75"/>
      <c r="P8" s="75"/>
      <c r="Q8" s="85"/>
      <c r="R8" s="57" t="s">
        <v>125</v>
      </c>
      <c r="S8" s="75"/>
      <c r="T8" s="75"/>
      <c r="U8" s="86"/>
      <c r="V8" s="75"/>
      <c r="W8" s="75"/>
      <c r="X8" s="75"/>
      <c r="Y8" s="86"/>
      <c r="Z8" s="75"/>
      <c r="AA8" s="75"/>
      <c r="AB8" s="75"/>
      <c r="AC8" s="87"/>
      <c r="AD8" s="57" t="s">
        <v>125</v>
      </c>
      <c r="AE8" s="75"/>
      <c r="AF8" s="75"/>
    </row>
    <row r="9" spans="2:48" ht="29.5" customHeight="1">
      <c r="B9" s="1" t="s">
        <v>206</v>
      </c>
      <c r="M9" s="99"/>
      <c r="N9" s="56" t="s">
        <v>132</v>
      </c>
      <c r="O9" s="74">
        <v>3</v>
      </c>
      <c r="P9" s="74" t="s">
        <v>134</v>
      </c>
      <c r="Q9" s="85"/>
      <c r="R9" s="56" t="s">
        <v>132</v>
      </c>
      <c r="S9" s="74">
        <v>3</v>
      </c>
      <c r="T9" s="74" t="s">
        <v>135</v>
      </c>
      <c r="U9" s="86"/>
      <c r="V9" s="74" t="s">
        <v>136</v>
      </c>
      <c r="W9" s="74">
        <v>3</v>
      </c>
      <c r="X9" s="74" t="s">
        <v>137</v>
      </c>
      <c r="Y9" s="86"/>
      <c r="Z9" s="74" t="s">
        <v>138</v>
      </c>
      <c r="AA9" s="74">
        <v>0.8</v>
      </c>
      <c r="AB9" s="74" t="s">
        <v>139</v>
      </c>
      <c r="AC9" s="87"/>
      <c r="AD9" s="56" t="s">
        <v>132</v>
      </c>
      <c r="AE9" s="74">
        <v>6</v>
      </c>
      <c r="AF9" s="74" t="s">
        <v>140</v>
      </c>
    </row>
    <row r="10" spans="2:48">
      <c r="B10" s="61" t="s">
        <v>203</v>
      </c>
      <c r="C10" s="80">
        <f>$C$4*O29</f>
        <v>0.54</v>
      </c>
      <c r="D10" s="80"/>
      <c r="E10" s="20">
        <f>$E$4*W29</f>
        <v>0.15</v>
      </c>
      <c r="F10" s="20">
        <f>$F$4*AA29</f>
        <v>25</v>
      </c>
      <c r="G10" s="20">
        <f>$G$4*AE29</f>
        <v>0.55000000000000004</v>
      </c>
      <c r="H10" s="20">
        <f>$H$4*AI29</f>
        <v>0.15</v>
      </c>
      <c r="I10" s="20">
        <f>$I$4*AM29</f>
        <v>0.09</v>
      </c>
      <c r="J10" s="20">
        <f>$J$4*AQ29</f>
        <v>0.65</v>
      </c>
      <c r="K10" s="20">
        <f>$K$4*AU29</f>
        <v>3.5999999999999997E-2</v>
      </c>
      <c r="L10" s="20">
        <f>SUM(C10:K10)</f>
        <v>27.166</v>
      </c>
      <c r="M10" s="99"/>
      <c r="N10" s="57" t="s">
        <v>133</v>
      </c>
      <c r="O10" s="75"/>
      <c r="P10" s="75"/>
      <c r="Q10" s="85"/>
      <c r="R10" s="57" t="s">
        <v>133</v>
      </c>
      <c r="S10" s="75"/>
      <c r="T10" s="75"/>
      <c r="U10" s="86"/>
      <c r="V10" s="75"/>
      <c r="W10" s="75"/>
      <c r="X10" s="75"/>
      <c r="Y10" s="86"/>
      <c r="Z10" s="75"/>
      <c r="AA10" s="75"/>
      <c r="AB10" s="75"/>
      <c r="AC10" s="87"/>
      <c r="AD10" s="57" t="s">
        <v>133</v>
      </c>
      <c r="AE10" s="75"/>
      <c r="AF10" s="75"/>
    </row>
    <row r="11" spans="2:48">
      <c r="B11" s="61" t="s">
        <v>204</v>
      </c>
      <c r="C11" s="80">
        <f>$C$4*O30</f>
        <v>0.89999999999999991</v>
      </c>
      <c r="D11" s="80"/>
      <c r="E11" s="20">
        <f t="shared" ref="E11:E12" si="0">$E$4*W30</f>
        <v>0.03</v>
      </c>
      <c r="F11" s="20">
        <f t="shared" ref="F11:F12" si="1">$F$4*AA30</f>
        <v>15</v>
      </c>
      <c r="G11" s="20">
        <f t="shared" ref="G11:G12" si="2">$G$4*AE30</f>
        <v>0.55000000000000004</v>
      </c>
      <c r="H11" s="20">
        <f t="shared" ref="H11" si="3">$H$4*AI30</f>
        <v>0.44999999999999996</v>
      </c>
      <c r="I11" s="20">
        <f t="shared" ref="I11:I12" si="4">$I$4*AM30</f>
        <v>0.44999999999999996</v>
      </c>
      <c r="J11" s="20">
        <f t="shared" ref="J11:J12" si="5">$J$4*AQ30</f>
        <v>0.13</v>
      </c>
      <c r="K11" s="20">
        <f t="shared" ref="K11:K12" si="6">$K$4*AU30</f>
        <v>4.8000000000000001E-2</v>
      </c>
      <c r="L11" s="20">
        <f t="shared" ref="L11:L12" si="7">SUM(C11:K11)</f>
        <v>17.557999999999996</v>
      </c>
      <c r="M11" s="99"/>
      <c r="N11" s="56" t="s">
        <v>141</v>
      </c>
      <c r="O11" s="74">
        <v>2</v>
      </c>
      <c r="P11" s="74" t="s">
        <v>143</v>
      </c>
      <c r="Q11" s="85"/>
      <c r="R11" s="56" t="s">
        <v>141</v>
      </c>
      <c r="S11" s="74">
        <v>2</v>
      </c>
      <c r="T11" s="74" t="s">
        <v>144</v>
      </c>
      <c r="U11" s="86"/>
      <c r="V11" s="74" t="s">
        <v>141</v>
      </c>
      <c r="W11" s="74">
        <v>2</v>
      </c>
      <c r="X11" s="74" t="s">
        <v>145</v>
      </c>
      <c r="Y11" s="86"/>
      <c r="Z11" s="74" t="s">
        <v>146</v>
      </c>
      <c r="AA11" s="74">
        <v>0.7</v>
      </c>
      <c r="AB11" s="74" t="s">
        <v>147</v>
      </c>
      <c r="AC11" s="87"/>
      <c r="AD11" s="56" t="s">
        <v>141</v>
      </c>
      <c r="AE11" s="74">
        <v>4</v>
      </c>
      <c r="AF11" s="74" t="s">
        <v>148</v>
      </c>
    </row>
    <row r="12" spans="2:48">
      <c r="B12" s="61" t="s">
        <v>205</v>
      </c>
      <c r="C12" s="80">
        <f t="shared" ref="C12" si="8">$C$4*O31</f>
        <v>0.18</v>
      </c>
      <c r="D12" s="80"/>
      <c r="E12" s="20">
        <f t="shared" si="0"/>
        <v>0.09</v>
      </c>
      <c r="F12" s="20">
        <f t="shared" si="1"/>
        <v>20</v>
      </c>
      <c r="G12" s="20">
        <f t="shared" si="2"/>
        <v>0.33</v>
      </c>
      <c r="H12" s="20">
        <f>$H$4*AI31</f>
        <v>0.44999999999999996</v>
      </c>
      <c r="I12" s="20">
        <f t="shared" si="4"/>
        <v>0.09</v>
      </c>
      <c r="J12" s="20">
        <f t="shared" si="5"/>
        <v>0.13</v>
      </c>
      <c r="K12" s="20">
        <f t="shared" si="6"/>
        <v>0.06</v>
      </c>
      <c r="L12" s="20">
        <f t="shared" si="7"/>
        <v>21.329999999999995</v>
      </c>
      <c r="M12" s="99"/>
      <c r="N12" s="57" t="s">
        <v>142</v>
      </c>
      <c r="O12" s="75"/>
      <c r="P12" s="75"/>
      <c r="Q12" s="85"/>
      <c r="R12" s="57" t="s">
        <v>142</v>
      </c>
      <c r="S12" s="75"/>
      <c r="T12" s="75"/>
      <c r="U12" s="86"/>
      <c r="V12" s="75"/>
      <c r="W12" s="75"/>
      <c r="X12" s="75"/>
      <c r="Y12" s="86"/>
      <c r="Z12" s="75"/>
      <c r="AA12" s="75"/>
      <c r="AB12" s="75"/>
      <c r="AC12" s="87"/>
      <c r="AD12" s="57" t="s">
        <v>142</v>
      </c>
      <c r="AE12" s="75"/>
      <c r="AF12" s="75"/>
    </row>
    <row r="13" spans="2:48" ht="21.5" customHeight="1">
      <c r="M13" s="99"/>
      <c r="N13" s="56" t="s">
        <v>149</v>
      </c>
      <c r="O13" s="74">
        <v>1</v>
      </c>
      <c r="P13" s="74" t="s">
        <v>216</v>
      </c>
      <c r="Q13" s="85"/>
      <c r="R13" s="56" t="s">
        <v>149</v>
      </c>
      <c r="S13" s="74">
        <v>1</v>
      </c>
      <c r="T13" s="74" t="s">
        <v>151</v>
      </c>
      <c r="U13" s="87"/>
      <c r="V13" s="74" t="s">
        <v>149</v>
      </c>
      <c r="W13" s="74">
        <v>1</v>
      </c>
      <c r="X13" s="74" t="s">
        <v>152</v>
      </c>
      <c r="Y13" s="87"/>
      <c r="Z13" s="74" t="s">
        <v>153</v>
      </c>
      <c r="AA13" s="74">
        <v>0.6</v>
      </c>
      <c r="AB13" s="74" t="s">
        <v>154</v>
      </c>
      <c r="AC13" s="87"/>
      <c r="AD13" s="56" t="s">
        <v>149</v>
      </c>
      <c r="AE13" s="74">
        <v>1</v>
      </c>
      <c r="AF13" s="74" t="s">
        <v>155</v>
      </c>
    </row>
    <row r="14" spans="2:48">
      <c r="M14" s="99"/>
      <c r="N14" s="57" t="s">
        <v>150</v>
      </c>
      <c r="O14" s="75"/>
      <c r="P14" s="75"/>
      <c r="Q14" s="85"/>
      <c r="R14" s="57" t="s">
        <v>150</v>
      </c>
      <c r="S14" s="75"/>
      <c r="T14" s="75"/>
      <c r="U14" s="87"/>
      <c r="V14" s="75"/>
      <c r="W14" s="75"/>
      <c r="X14" s="75"/>
      <c r="Y14" s="87"/>
      <c r="Z14" s="75"/>
      <c r="AA14" s="75"/>
      <c r="AB14" s="75"/>
      <c r="AC14" s="87"/>
      <c r="AD14" s="57" t="s">
        <v>150</v>
      </c>
      <c r="AE14" s="75"/>
      <c r="AF14" s="75"/>
    </row>
    <row r="15" spans="2:48">
      <c r="N15" s="68" t="s">
        <v>66</v>
      </c>
      <c r="V15" t="s">
        <v>66</v>
      </c>
      <c r="Z15" t="s">
        <v>66</v>
      </c>
      <c r="AD15" s="68" t="s">
        <v>66</v>
      </c>
      <c r="AH15" t="s">
        <v>66</v>
      </c>
      <c r="AL15" s="64" t="s">
        <v>66</v>
      </c>
      <c r="AP15" t="s">
        <v>51</v>
      </c>
    </row>
    <row r="16" spans="2:48" ht="32" customHeight="1">
      <c r="M16" s="100" t="s">
        <v>200</v>
      </c>
      <c r="N16" s="78" t="s">
        <v>159</v>
      </c>
      <c r="O16" s="79"/>
      <c r="P16" s="79"/>
      <c r="R16" s="88" t="s">
        <v>160</v>
      </c>
      <c r="S16" s="89"/>
      <c r="T16" s="89"/>
      <c r="V16" s="78" t="s">
        <v>168</v>
      </c>
      <c r="W16" s="79"/>
      <c r="X16" s="79"/>
      <c r="Z16" s="82" t="s">
        <v>169</v>
      </c>
      <c r="AA16" s="83"/>
      <c r="AB16" s="84"/>
      <c r="AD16" s="78" t="s">
        <v>174</v>
      </c>
      <c r="AE16" s="79"/>
      <c r="AF16" s="79"/>
      <c r="AH16" s="78" t="s">
        <v>175</v>
      </c>
      <c r="AI16" s="79"/>
      <c r="AJ16" s="79"/>
      <c r="AL16" s="78" t="s">
        <v>181</v>
      </c>
      <c r="AM16" s="79"/>
      <c r="AN16" s="79"/>
      <c r="AP16" s="82" t="s">
        <v>188</v>
      </c>
      <c r="AQ16" s="83"/>
      <c r="AR16" s="84"/>
      <c r="AT16" s="78" t="s">
        <v>217</v>
      </c>
      <c r="AU16" s="79"/>
      <c r="AV16" s="79"/>
    </row>
    <row r="17" spans="2:48" ht="27">
      <c r="M17" s="100"/>
      <c r="N17" s="49" t="s">
        <v>157</v>
      </c>
      <c r="O17" s="50" t="s">
        <v>105</v>
      </c>
      <c r="P17" s="50" t="s">
        <v>106</v>
      </c>
      <c r="R17" s="49" t="s">
        <v>104</v>
      </c>
      <c r="S17" s="50" t="s">
        <v>107</v>
      </c>
      <c r="T17" s="50" t="s">
        <v>108</v>
      </c>
      <c r="V17" s="49" t="s">
        <v>161</v>
      </c>
      <c r="W17" s="50" t="s">
        <v>110</v>
      </c>
      <c r="X17" s="50" t="s">
        <v>106</v>
      </c>
      <c r="Z17" s="53" t="s">
        <v>111</v>
      </c>
      <c r="AA17" s="53" t="s">
        <v>112</v>
      </c>
      <c r="AB17" s="54" t="s">
        <v>113</v>
      </c>
      <c r="AD17" s="49" t="s">
        <v>104</v>
      </c>
      <c r="AE17" s="50" t="s">
        <v>114</v>
      </c>
      <c r="AF17" s="50" t="s">
        <v>115</v>
      </c>
      <c r="AH17" s="49" t="s">
        <v>104</v>
      </c>
      <c r="AI17" s="50" t="s">
        <v>114</v>
      </c>
      <c r="AJ17" s="50" t="s">
        <v>115</v>
      </c>
      <c r="AL17" s="49" t="s">
        <v>104</v>
      </c>
      <c r="AM17" s="50" t="s">
        <v>114</v>
      </c>
      <c r="AN17" s="50" t="s">
        <v>115</v>
      </c>
      <c r="AP17" s="53" t="s">
        <v>111</v>
      </c>
      <c r="AQ17" s="53" t="s">
        <v>112</v>
      </c>
      <c r="AR17" s="54" t="s">
        <v>113</v>
      </c>
      <c r="AT17" s="49" t="s">
        <v>104</v>
      </c>
      <c r="AU17" s="50" t="s">
        <v>114</v>
      </c>
      <c r="AV17" s="50" t="s">
        <v>115</v>
      </c>
    </row>
    <row r="18" spans="2:48" ht="14.5" customHeight="1">
      <c r="M18" s="100"/>
      <c r="N18" s="74" t="s">
        <v>116</v>
      </c>
      <c r="O18" s="74">
        <v>5</v>
      </c>
      <c r="P18" s="74" t="s">
        <v>156</v>
      </c>
      <c r="R18" s="56" t="s">
        <v>116</v>
      </c>
      <c r="S18" s="74">
        <v>5</v>
      </c>
      <c r="T18" s="74" t="s">
        <v>119</v>
      </c>
      <c r="V18" s="74" t="s">
        <v>163</v>
      </c>
      <c r="W18" s="74">
        <v>5</v>
      </c>
      <c r="X18" s="74" t="s">
        <v>162</v>
      </c>
      <c r="Z18" s="74" t="s">
        <v>121</v>
      </c>
      <c r="AA18" s="74">
        <v>100</v>
      </c>
      <c r="AB18" s="74" t="s">
        <v>233</v>
      </c>
      <c r="AD18" s="74" t="s">
        <v>163</v>
      </c>
      <c r="AE18" s="74">
        <v>5</v>
      </c>
      <c r="AF18" s="74" t="s">
        <v>171</v>
      </c>
      <c r="AH18" s="92" t="s">
        <v>231</v>
      </c>
      <c r="AI18" s="74">
        <v>5</v>
      </c>
      <c r="AJ18" s="74" t="s">
        <v>176</v>
      </c>
      <c r="AL18" s="74" t="s">
        <v>182</v>
      </c>
      <c r="AM18" s="74">
        <v>5</v>
      </c>
      <c r="AN18" s="74" t="s">
        <v>185</v>
      </c>
      <c r="AP18" s="74" t="s">
        <v>189</v>
      </c>
      <c r="AQ18" s="74">
        <v>5</v>
      </c>
      <c r="AR18" s="74" t="s">
        <v>191</v>
      </c>
      <c r="AT18" s="74" t="s">
        <v>193</v>
      </c>
      <c r="AU18" s="74">
        <v>0.6</v>
      </c>
      <c r="AV18" s="74" t="s">
        <v>194</v>
      </c>
    </row>
    <row r="19" spans="2:48" ht="44.5" customHeight="1">
      <c r="M19" s="100"/>
      <c r="N19" s="75"/>
      <c r="O19" s="75"/>
      <c r="P19" s="75"/>
      <c r="R19" s="57" t="s">
        <v>117</v>
      </c>
      <c r="S19" s="75"/>
      <c r="T19" s="75"/>
      <c r="V19" s="75"/>
      <c r="W19" s="75"/>
      <c r="X19" s="75"/>
      <c r="Z19" s="75"/>
      <c r="AA19" s="75"/>
      <c r="AB19" s="75"/>
      <c r="AD19" s="75"/>
      <c r="AE19" s="75"/>
      <c r="AF19" s="75"/>
      <c r="AH19" s="93"/>
      <c r="AI19" s="75"/>
      <c r="AJ19" s="75"/>
      <c r="AL19" s="75"/>
      <c r="AM19" s="75"/>
      <c r="AN19" s="75"/>
      <c r="AP19" s="75"/>
      <c r="AQ19" s="75"/>
      <c r="AR19" s="75"/>
      <c r="AT19" s="75"/>
      <c r="AU19" s="75"/>
      <c r="AV19" s="75"/>
    </row>
    <row r="20" spans="2:48" ht="14.5" customHeight="1">
      <c r="C20" s="77" t="s">
        <v>91</v>
      </c>
      <c r="D20" s="77"/>
      <c r="E20" s="77"/>
      <c r="F20" s="77"/>
      <c r="G20" s="77"/>
      <c r="H20" s="77"/>
      <c r="I20" s="77"/>
      <c r="J20" s="77"/>
      <c r="K20" s="77"/>
      <c r="M20" s="100"/>
      <c r="N20" s="56"/>
      <c r="O20" s="74"/>
      <c r="P20" s="74"/>
      <c r="R20" s="56" t="s">
        <v>124</v>
      </c>
      <c r="S20" s="74">
        <v>4</v>
      </c>
      <c r="T20" s="74" t="s">
        <v>127</v>
      </c>
      <c r="V20" s="74"/>
      <c r="W20" s="74"/>
      <c r="X20" s="74"/>
      <c r="Z20" s="74" t="s">
        <v>129</v>
      </c>
      <c r="AA20" s="74">
        <v>90</v>
      </c>
      <c r="AB20" s="74" t="s">
        <v>235</v>
      </c>
      <c r="AD20" s="74"/>
      <c r="AE20" s="74"/>
      <c r="AF20" s="74"/>
      <c r="AH20" s="74"/>
      <c r="AI20" s="74"/>
      <c r="AJ20" s="74"/>
      <c r="AL20" s="74"/>
      <c r="AM20" s="74"/>
      <c r="AN20" s="74"/>
      <c r="AP20" s="74"/>
      <c r="AQ20" s="74"/>
      <c r="AR20" s="74"/>
      <c r="AT20" s="74"/>
      <c r="AU20" s="74"/>
      <c r="AV20" s="74"/>
    </row>
    <row r="21" spans="2:48">
      <c r="C21" s="76" t="s">
        <v>90</v>
      </c>
      <c r="D21" s="76"/>
      <c r="E21" s="76"/>
      <c r="F21" s="76"/>
      <c r="G21" s="76"/>
      <c r="M21" s="100"/>
      <c r="N21" s="57"/>
      <c r="O21" s="75"/>
      <c r="P21" s="75"/>
      <c r="R21" s="57" t="s">
        <v>125</v>
      </c>
      <c r="S21" s="75"/>
      <c r="T21" s="75"/>
      <c r="V21" s="75"/>
      <c r="W21" s="75"/>
      <c r="X21" s="75"/>
      <c r="Z21" s="75"/>
      <c r="AA21" s="75"/>
      <c r="AB21" s="75"/>
      <c r="AD21" s="75"/>
      <c r="AE21" s="75"/>
      <c r="AF21" s="75"/>
      <c r="AH21" s="75"/>
      <c r="AI21" s="75"/>
      <c r="AJ21" s="75"/>
      <c r="AL21" s="75"/>
      <c r="AM21" s="75"/>
      <c r="AN21" s="75"/>
      <c r="AP21" s="75"/>
      <c r="AQ21" s="75"/>
      <c r="AR21" s="75"/>
      <c r="AT21" s="75"/>
      <c r="AU21" s="75"/>
      <c r="AV21" s="75"/>
    </row>
    <row r="22" spans="2:48" ht="14.5" customHeight="1">
      <c r="B22" s="18"/>
      <c r="C22" s="95" t="s">
        <v>202</v>
      </c>
      <c r="D22" s="96"/>
      <c r="E22" s="45" t="s">
        <v>35</v>
      </c>
      <c r="F22" s="58" t="s">
        <v>93</v>
      </c>
      <c r="G22" s="45" t="s">
        <v>170</v>
      </c>
      <c r="H22" s="45" t="s">
        <v>85</v>
      </c>
      <c r="I22" s="45" t="s">
        <v>42</v>
      </c>
      <c r="J22" s="58" t="s">
        <v>92</v>
      </c>
      <c r="K22" s="45" t="s">
        <v>48</v>
      </c>
      <c r="M22" s="100"/>
      <c r="N22" s="74" t="s">
        <v>132</v>
      </c>
      <c r="O22" s="74">
        <v>3</v>
      </c>
      <c r="P22" s="74" t="s">
        <v>158</v>
      </c>
      <c r="R22" s="56" t="s">
        <v>132</v>
      </c>
      <c r="S22" s="74">
        <v>3</v>
      </c>
      <c r="T22" s="74" t="s">
        <v>135</v>
      </c>
      <c r="V22" s="74" t="s">
        <v>164</v>
      </c>
      <c r="W22" s="74">
        <v>3</v>
      </c>
      <c r="X22" s="74" t="s">
        <v>166</v>
      </c>
      <c r="Z22" s="74" t="s">
        <v>138</v>
      </c>
      <c r="AA22" s="74">
        <v>80</v>
      </c>
      <c r="AB22" s="74" t="s">
        <v>237</v>
      </c>
      <c r="AD22" s="74" t="s">
        <v>164</v>
      </c>
      <c r="AE22" s="74">
        <v>3</v>
      </c>
      <c r="AF22" s="74" t="s">
        <v>172</v>
      </c>
      <c r="AH22" s="74" t="s">
        <v>177</v>
      </c>
      <c r="AI22" s="74">
        <v>1</v>
      </c>
      <c r="AJ22" s="74" t="s">
        <v>179</v>
      </c>
      <c r="AL22" s="74" t="s">
        <v>183</v>
      </c>
      <c r="AM22" s="74">
        <v>3</v>
      </c>
      <c r="AN22" s="74" t="s">
        <v>186</v>
      </c>
      <c r="AP22" s="74" t="s">
        <v>223</v>
      </c>
      <c r="AQ22" s="74">
        <v>3</v>
      </c>
      <c r="AR22" s="74" t="s">
        <v>224</v>
      </c>
      <c r="AT22" s="74" t="s">
        <v>195</v>
      </c>
      <c r="AU22" s="74">
        <v>0.8</v>
      </c>
      <c r="AV22" s="74" t="s">
        <v>196</v>
      </c>
    </row>
    <row r="23" spans="2:48" ht="29">
      <c r="B23" s="21" t="s">
        <v>201</v>
      </c>
      <c r="C23" s="97">
        <v>0.18</v>
      </c>
      <c r="D23" s="98"/>
      <c r="E23" s="62">
        <v>0.03</v>
      </c>
      <c r="F23" s="62">
        <v>0.25</v>
      </c>
      <c r="G23" s="62">
        <v>0.09</v>
      </c>
      <c r="H23" s="62">
        <v>0.15</v>
      </c>
      <c r="I23" s="62">
        <v>0.11</v>
      </c>
      <c r="J23" s="62">
        <v>0.13</v>
      </c>
      <c r="K23" s="62">
        <v>0.06</v>
      </c>
      <c r="M23" s="100"/>
      <c r="N23" s="75"/>
      <c r="O23" s="75"/>
      <c r="P23" s="75"/>
      <c r="R23" s="57" t="s">
        <v>133</v>
      </c>
      <c r="S23" s="75"/>
      <c r="T23" s="75"/>
      <c r="V23" s="75"/>
      <c r="W23" s="75"/>
      <c r="X23" s="75"/>
      <c r="Z23" s="75"/>
      <c r="AA23" s="75"/>
      <c r="AB23" s="75"/>
      <c r="AD23" s="75"/>
      <c r="AE23" s="75"/>
      <c r="AF23" s="75"/>
      <c r="AH23" s="75"/>
      <c r="AI23" s="75"/>
      <c r="AJ23" s="75"/>
      <c r="AL23" s="75"/>
      <c r="AM23" s="75"/>
      <c r="AN23" s="75"/>
      <c r="AP23" s="75"/>
      <c r="AQ23" s="75"/>
      <c r="AR23" s="75"/>
      <c r="AT23" s="75"/>
      <c r="AU23" s="75"/>
      <c r="AV23" s="75"/>
    </row>
    <row r="24" spans="2:48" ht="14.5" customHeight="1">
      <c r="M24" s="100"/>
      <c r="N24" s="56"/>
      <c r="O24" s="74"/>
      <c r="P24" s="74"/>
      <c r="R24" s="56" t="s">
        <v>141</v>
      </c>
      <c r="S24" s="74">
        <v>2</v>
      </c>
      <c r="T24" s="74" t="s">
        <v>144</v>
      </c>
      <c r="V24" s="74"/>
      <c r="W24" s="74"/>
      <c r="X24" s="74"/>
      <c r="Z24" s="74" t="s">
        <v>146</v>
      </c>
      <c r="AA24" s="74">
        <v>70</v>
      </c>
      <c r="AB24" s="74" t="s">
        <v>239</v>
      </c>
      <c r="AD24" s="74"/>
      <c r="AE24" s="74"/>
      <c r="AF24" s="74"/>
      <c r="AH24" s="74"/>
      <c r="AI24" s="74"/>
      <c r="AJ24" s="74"/>
      <c r="AL24" s="74"/>
      <c r="AM24" s="74"/>
      <c r="AN24" s="74"/>
      <c r="AP24" s="74"/>
      <c r="AQ24" s="74"/>
      <c r="AR24" s="74"/>
      <c r="AT24" s="74"/>
      <c r="AU24" s="74"/>
      <c r="AV24" s="74"/>
    </row>
    <row r="25" spans="2:48">
      <c r="M25" s="100"/>
      <c r="N25" s="57"/>
      <c r="O25" s="75"/>
      <c r="P25" s="75"/>
      <c r="R25" s="57" t="s">
        <v>142</v>
      </c>
      <c r="S25" s="75"/>
      <c r="T25" s="75"/>
      <c r="V25" s="75"/>
      <c r="W25" s="75"/>
      <c r="X25" s="75"/>
      <c r="Z25" s="75"/>
      <c r="AA25" s="75"/>
      <c r="AB25" s="75"/>
      <c r="AD25" s="75"/>
      <c r="AE25" s="75"/>
      <c r="AF25" s="75"/>
      <c r="AH25" s="75"/>
      <c r="AI25" s="75"/>
      <c r="AJ25" s="75"/>
      <c r="AL25" s="75"/>
      <c r="AM25" s="75"/>
      <c r="AN25" s="75"/>
      <c r="AP25" s="75"/>
      <c r="AQ25" s="75"/>
      <c r="AR25" s="75"/>
      <c r="AT25" s="75"/>
      <c r="AU25" s="75"/>
      <c r="AV25" s="75"/>
    </row>
    <row r="26" spans="2:48" ht="14.5" customHeight="1">
      <c r="M26" s="100"/>
      <c r="N26" s="74" t="s">
        <v>141</v>
      </c>
      <c r="O26" s="74">
        <v>1</v>
      </c>
      <c r="P26" s="90" t="s">
        <v>219</v>
      </c>
      <c r="R26" s="56" t="s">
        <v>149</v>
      </c>
      <c r="S26" s="74">
        <v>1</v>
      </c>
      <c r="T26" s="74" t="s">
        <v>151</v>
      </c>
      <c r="V26" s="74" t="s">
        <v>165</v>
      </c>
      <c r="W26" s="74">
        <v>1</v>
      </c>
      <c r="X26" s="74" t="s">
        <v>167</v>
      </c>
      <c r="Z26" s="74" t="s">
        <v>153</v>
      </c>
      <c r="AA26" s="74">
        <v>60</v>
      </c>
      <c r="AB26" s="74" t="s">
        <v>241</v>
      </c>
      <c r="AD26" s="74" t="s">
        <v>165</v>
      </c>
      <c r="AE26" s="74">
        <v>1</v>
      </c>
      <c r="AF26" s="74" t="s">
        <v>173</v>
      </c>
      <c r="AH26" s="74" t="s">
        <v>178</v>
      </c>
      <c r="AI26" s="74">
        <v>0</v>
      </c>
      <c r="AJ26" s="74" t="s">
        <v>180</v>
      </c>
      <c r="AL26" s="74" t="s">
        <v>184</v>
      </c>
      <c r="AM26" s="74">
        <v>1</v>
      </c>
      <c r="AN26" s="74" t="s">
        <v>187</v>
      </c>
      <c r="AP26" s="74" t="s">
        <v>190</v>
      </c>
      <c r="AQ26" s="74">
        <v>1</v>
      </c>
      <c r="AR26" s="74" t="s">
        <v>192</v>
      </c>
      <c r="AT26" s="74" t="s">
        <v>197</v>
      </c>
      <c r="AU26" s="74">
        <v>1</v>
      </c>
      <c r="AV26" s="74" t="s">
        <v>198</v>
      </c>
    </row>
    <row r="27" spans="2:48" ht="20.5" customHeight="1">
      <c r="M27" s="100"/>
      <c r="N27" s="75"/>
      <c r="O27" s="75"/>
      <c r="P27" s="91"/>
      <c r="R27" s="57" t="s">
        <v>150</v>
      </c>
      <c r="S27" s="75"/>
      <c r="T27" s="75"/>
      <c r="V27" s="75"/>
      <c r="W27" s="75"/>
      <c r="X27" s="75"/>
      <c r="Z27" s="75"/>
      <c r="AA27" s="75"/>
      <c r="AB27" s="75"/>
      <c r="AD27" s="75"/>
      <c r="AE27" s="75"/>
      <c r="AF27" s="75"/>
      <c r="AH27" s="75"/>
      <c r="AI27" s="75"/>
      <c r="AJ27" s="75"/>
      <c r="AL27" s="75"/>
      <c r="AM27" s="75"/>
      <c r="AN27" s="75"/>
      <c r="AP27" s="75"/>
      <c r="AQ27" s="75"/>
      <c r="AR27" s="75"/>
      <c r="AT27" s="75"/>
      <c r="AU27" s="75"/>
      <c r="AV27" s="75"/>
    </row>
    <row r="28" spans="2:48" ht="30" customHeight="1">
      <c r="N28" s="65" t="s">
        <v>222</v>
      </c>
      <c r="AH28" s="63" t="s">
        <v>220</v>
      </c>
      <c r="AL28" s="94" t="s">
        <v>221</v>
      </c>
      <c r="AM28" s="94"/>
      <c r="AN28" s="94"/>
    </row>
    <row r="29" spans="2:48">
      <c r="K29" s="19" t="s">
        <v>203</v>
      </c>
      <c r="L29" s="19"/>
      <c r="M29" s="19"/>
      <c r="N29" s="19"/>
      <c r="O29" s="60">
        <v>3</v>
      </c>
      <c r="P29" s="19"/>
      <c r="Q29" s="19"/>
      <c r="R29" s="19"/>
      <c r="S29" s="19"/>
      <c r="T29" s="19"/>
      <c r="U29" s="19"/>
      <c r="V29" s="19"/>
      <c r="W29" s="60">
        <v>5</v>
      </c>
      <c r="X29" s="19"/>
      <c r="Y29" s="19"/>
      <c r="Z29" s="19"/>
      <c r="AA29" s="60">
        <v>100</v>
      </c>
      <c r="AB29" s="19"/>
      <c r="AC29" s="19"/>
      <c r="AD29" s="19"/>
      <c r="AE29" s="60">
        <v>5</v>
      </c>
      <c r="AF29" s="19"/>
      <c r="AG29" s="19"/>
      <c r="AH29" s="19"/>
      <c r="AI29" s="60">
        <v>1</v>
      </c>
      <c r="AJ29" s="19"/>
      <c r="AK29" s="19"/>
      <c r="AL29" s="19"/>
      <c r="AM29" s="60">
        <v>1</v>
      </c>
      <c r="AN29" s="19"/>
      <c r="AO29" s="19"/>
      <c r="AP29" s="19"/>
      <c r="AQ29" s="60">
        <v>5</v>
      </c>
      <c r="AR29" s="19"/>
      <c r="AS29" s="19"/>
      <c r="AT29" s="19"/>
      <c r="AU29" s="60">
        <v>0.6</v>
      </c>
      <c r="AV29" s="19"/>
    </row>
    <row r="30" spans="2:48">
      <c r="K30" s="19" t="s">
        <v>204</v>
      </c>
      <c r="L30" s="19"/>
      <c r="M30" s="19"/>
      <c r="N30" s="19"/>
      <c r="O30" s="60">
        <v>5</v>
      </c>
      <c r="P30" s="19"/>
      <c r="Q30" s="19"/>
      <c r="R30" s="19"/>
      <c r="S30" s="19"/>
      <c r="T30" s="19"/>
      <c r="U30" s="19"/>
      <c r="V30" s="19"/>
      <c r="W30" s="60">
        <v>1</v>
      </c>
      <c r="X30" s="19"/>
      <c r="Y30" s="19"/>
      <c r="Z30" s="19"/>
      <c r="AA30" s="60">
        <v>60</v>
      </c>
      <c r="AB30" s="19"/>
      <c r="AC30" s="19"/>
      <c r="AD30" s="19"/>
      <c r="AE30" s="60">
        <v>5</v>
      </c>
      <c r="AF30" s="19"/>
      <c r="AG30" s="19"/>
      <c r="AH30" s="19"/>
      <c r="AI30" s="60">
        <v>3</v>
      </c>
      <c r="AJ30" s="19"/>
      <c r="AK30" s="19"/>
      <c r="AL30" s="19"/>
      <c r="AM30" s="60">
        <v>5</v>
      </c>
      <c r="AN30" s="19"/>
      <c r="AO30" s="19"/>
      <c r="AP30" s="19"/>
      <c r="AQ30" s="60">
        <v>1</v>
      </c>
      <c r="AR30" s="19"/>
      <c r="AS30" s="19"/>
      <c r="AT30" s="19"/>
      <c r="AU30" s="60">
        <v>0.8</v>
      </c>
      <c r="AV30" s="19"/>
    </row>
    <row r="31" spans="2:48" ht="14.5" customHeight="1">
      <c r="K31" s="19" t="s">
        <v>205</v>
      </c>
      <c r="L31" s="19"/>
      <c r="M31" s="19"/>
      <c r="N31" s="19"/>
      <c r="O31" s="60">
        <v>1</v>
      </c>
      <c r="P31" s="19"/>
      <c r="Q31" s="19"/>
      <c r="R31" s="19"/>
      <c r="S31" s="19"/>
      <c r="T31" s="19"/>
      <c r="U31" s="19"/>
      <c r="V31" s="19"/>
      <c r="W31" s="60">
        <v>3</v>
      </c>
      <c r="X31" s="19"/>
      <c r="Y31" s="19"/>
      <c r="Z31" s="19"/>
      <c r="AA31" s="60">
        <v>80</v>
      </c>
      <c r="AB31" s="19"/>
      <c r="AC31" s="19"/>
      <c r="AD31" s="19"/>
      <c r="AE31" s="60">
        <v>3</v>
      </c>
      <c r="AF31" s="19"/>
      <c r="AG31" s="19"/>
      <c r="AH31" s="19"/>
      <c r="AI31" s="60">
        <v>3</v>
      </c>
      <c r="AJ31" s="19"/>
      <c r="AK31" s="19"/>
      <c r="AL31" s="19"/>
      <c r="AM31" s="60">
        <v>1</v>
      </c>
      <c r="AN31" s="19"/>
      <c r="AO31" s="19"/>
      <c r="AP31" s="19"/>
      <c r="AQ31" s="60">
        <v>1</v>
      </c>
      <c r="AR31" s="19"/>
      <c r="AS31" s="19"/>
      <c r="AT31" s="19"/>
      <c r="AU31" s="60">
        <v>1</v>
      </c>
      <c r="AV31" s="19"/>
    </row>
    <row r="34" spans="25:31" ht="15" thickBot="1"/>
    <row r="35" spans="25:31" ht="15" thickBot="1">
      <c r="Y35" s="69" t="s">
        <v>243</v>
      </c>
      <c r="Z35" s="70"/>
      <c r="AA35" s="70"/>
      <c r="AB35" s="70"/>
      <c r="AC35" s="70"/>
      <c r="AD35" s="70"/>
      <c r="AE35" s="71"/>
    </row>
    <row r="36" spans="25:31" ht="14.5" customHeight="1">
      <c r="Y36" s="72" t="s">
        <v>233</v>
      </c>
      <c r="Z36" s="72"/>
      <c r="AA36" s="72" t="s">
        <v>234</v>
      </c>
      <c r="AB36" s="72"/>
      <c r="AC36" s="72"/>
      <c r="AD36" s="72"/>
      <c r="AE36" s="72"/>
    </row>
    <row r="37" spans="25:31">
      <c r="Y37" s="73"/>
      <c r="Z37" s="73"/>
      <c r="AA37" s="73"/>
      <c r="AB37" s="73"/>
      <c r="AC37" s="73"/>
      <c r="AD37" s="73"/>
      <c r="AE37" s="73"/>
    </row>
    <row r="38" spans="25:31" ht="14.5" customHeight="1">
      <c r="Y38" s="73" t="s">
        <v>235</v>
      </c>
      <c r="Z38" s="73"/>
      <c r="AA38" s="73" t="s">
        <v>236</v>
      </c>
      <c r="AB38" s="73"/>
      <c r="AC38" s="73"/>
      <c r="AD38" s="73"/>
      <c r="AE38" s="73"/>
    </row>
    <row r="39" spans="25:31">
      <c r="Y39" s="73"/>
      <c r="Z39" s="73"/>
      <c r="AA39" s="73"/>
      <c r="AB39" s="73"/>
      <c r="AC39" s="73"/>
      <c r="AD39" s="73"/>
      <c r="AE39" s="73"/>
    </row>
    <row r="40" spans="25:31" ht="14.5" customHeight="1">
      <c r="Y40" s="73" t="s">
        <v>237</v>
      </c>
      <c r="Z40" s="73"/>
      <c r="AA40" s="73" t="s">
        <v>238</v>
      </c>
      <c r="AB40" s="73"/>
      <c r="AC40" s="73"/>
      <c r="AD40" s="73"/>
      <c r="AE40" s="73"/>
    </row>
    <row r="41" spans="25:31">
      <c r="Y41" s="73"/>
      <c r="Z41" s="73"/>
      <c r="AA41" s="73"/>
      <c r="AB41" s="73"/>
      <c r="AC41" s="73"/>
      <c r="AD41" s="73"/>
      <c r="AE41" s="73"/>
    </row>
    <row r="42" spans="25:31" ht="14.5" customHeight="1">
      <c r="Y42" s="73" t="s">
        <v>239</v>
      </c>
      <c r="Z42" s="73"/>
      <c r="AA42" s="73" t="s">
        <v>240</v>
      </c>
      <c r="AB42" s="73"/>
      <c r="AC42" s="73"/>
      <c r="AD42" s="73"/>
      <c r="AE42" s="73"/>
    </row>
    <row r="43" spans="25:31">
      <c r="Y43" s="73"/>
      <c r="Z43" s="73"/>
      <c r="AA43" s="73"/>
      <c r="AB43" s="73"/>
      <c r="AC43" s="73"/>
      <c r="AD43" s="73"/>
      <c r="AE43" s="73"/>
    </row>
    <row r="44" spans="25:31" ht="14.5" customHeight="1">
      <c r="Y44" s="73" t="s">
        <v>241</v>
      </c>
      <c r="Z44" s="73"/>
      <c r="AA44" s="73" t="s">
        <v>242</v>
      </c>
      <c r="AB44" s="73"/>
      <c r="AC44" s="73"/>
      <c r="AD44" s="73"/>
      <c r="AE44" s="73"/>
    </row>
    <row r="45" spans="25:31">
      <c r="Y45" s="73"/>
      <c r="Z45" s="73"/>
      <c r="AA45" s="73"/>
      <c r="AB45" s="73"/>
      <c r="AC45" s="73"/>
      <c r="AD45" s="73"/>
      <c r="AE45" s="73"/>
    </row>
  </sheetData>
  <mergeCells count="248">
    <mergeCell ref="C20:K20"/>
    <mergeCell ref="C21:G21"/>
    <mergeCell ref="C22:D22"/>
    <mergeCell ref="C23:D23"/>
    <mergeCell ref="AT26:AT27"/>
    <mergeCell ref="AU26:AU27"/>
    <mergeCell ref="AV26:AV27"/>
    <mergeCell ref="M3:M14"/>
    <mergeCell ref="M16:M27"/>
    <mergeCell ref="C3:D3"/>
    <mergeCell ref="C4:D4"/>
    <mergeCell ref="N22:N23"/>
    <mergeCell ref="N26:N27"/>
    <mergeCell ref="C10:D10"/>
    <mergeCell ref="AT22:AT23"/>
    <mergeCell ref="AU22:AU23"/>
    <mergeCell ref="AV22:AV23"/>
    <mergeCell ref="AT24:AT25"/>
    <mergeCell ref="AU24:AU25"/>
    <mergeCell ref="AV24:AV25"/>
    <mergeCell ref="AT16:AV16"/>
    <mergeCell ref="AT18:AT19"/>
    <mergeCell ref="AU18:AU19"/>
    <mergeCell ref="AV18:AV19"/>
    <mergeCell ref="AT20:AT21"/>
    <mergeCell ref="AU20:AU21"/>
    <mergeCell ref="AV20:AV21"/>
    <mergeCell ref="AP22:AP23"/>
    <mergeCell ref="AQ22:AQ23"/>
    <mergeCell ref="AL28:AN28"/>
    <mergeCell ref="AP20:AP21"/>
    <mergeCell ref="AQ20:AQ21"/>
    <mergeCell ref="AR20:AR21"/>
    <mergeCell ref="AR26:AR27"/>
    <mergeCell ref="AP24:AP25"/>
    <mergeCell ref="AQ24:AQ25"/>
    <mergeCell ref="AR24:AR25"/>
    <mergeCell ref="AL26:AL27"/>
    <mergeCell ref="AM26:AM27"/>
    <mergeCell ref="AN26:AN27"/>
    <mergeCell ref="AP16:AR16"/>
    <mergeCell ref="AP18:AP19"/>
    <mergeCell ref="AQ18:AQ19"/>
    <mergeCell ref="AR18:AR19"/>
    <mergeCell ref="AP26:AP27"/>
    <mergeCell ref="AQ26:AQ27"/>
    <mergeCell ref="AR22:AR23"/>
    <mergeCell ref="AL22:AL23"/>
    <mergeCell ref="AM22:AM23"/>
    <mergeCell ref="AN22:AN23"/>
    <mergeCell ref="AL24:AL25"/>
    <mergeCell ref="AM24:AM25"/>
    <mergeCell ref="AN24:AN25"/>
    <mergeCell ref="AI26:AI27"/>
    <mergeCell ref="AJ26:AJ27"/>
    <mergeCell ref="AL16:AN16"/>
    <mergeCell ref="AL18:AL19"/>
    <mergeCell ref="AM18:AM19"/>
    <mergeCell ref="AN18:AN19"/>
    <mergeCell ref="AL20:AL21"/>
    <mergeCell ref="AM20:AM21"/>
    <mergeCell ref="AN20:AN21"/>
    <mergeCell ref="AI22:AI23"/>
    <mergeCell ref="AJ22:AJ23"/>
    <mergeCell ref="AI24:AI25"/>
    <mergeCell ref="AJ24:AJ25"/>
    <mergeCell ref="AH16:AJ16"/>
    <mergeCell ref="AH18:AH19"/>
    <mergeCell ref="AI18:AI19"/>
    <mergeCell ref="AJ18:AJ19"/>
    <mergeCell ref="AH20:AH21"/>
    <mergeCell ref="AI20:AI21"/>
    <mergeCell ref="AJ20:AJ21"/>
    <mergeCell ref="AF24:AF25"/>
    <mergeCell ref="AE26:AE27"/>
    <mergeCell ref="AF26:AF27"/>
    <mergeCell ref="AD18:AD19"/>
    <mergeCell ref="AD20:AD21"/>
    <mergeCell ref="AD22:AD23"/>
    <mergeCell ref="AD24:AD25"/>
    <mergeCell ref="AD26:AD27"/>
    <mergeCell ref="AH26:AH27"/>
    <mergeCell ref="AH22:AH23"/>
    <mergeCell ref="AH24:AH25"/>
    <mergeCell ref="V26:V27"/>
    <mergeCell ref="W26:W27"/>
    <mergeCell ref="X26:X27"/>
    <mergeCell ref="Z16:AB16"/>
    <mergeCell ref="Z18:Z19"/>
    <mergeCell ref="AA18:AA19"/>
    <mergeCell ref="AB18:AB19"/>
    <mergeCell ref="Z20:Z21"/>
    <mergeCell ref="AA20:AA21"/>
    <mergeCell ref="AB20:AB21"/>
    <mergeCell ref="X20:X21"/>
    <mergeCell ref="V22:V23"/>
    <mergeCell ref="W22:W23"/>
    <mergeCell ref="X22:X23"/>
    <mergeCell ref="V24:V25"/>
    <mergeCell ref="W24:W25"/>
    <mergeCell ref="X24:X25"/>
    <mergeCell ref="Z26:Z27"/>
    <mergeCell ref="AA26:AA27"/>
    <mergeCell ref="AB26:AB27"/>
    <mergeCell ref="Z22:Z23"/>
    <mergeCell ref="AA22:AA23"/>
    <mergeCell ref="AB22:AB23"/>
    <mergeCell ref="Z24:Z25"/>
    <mergeCell ref="P24:P25"/>
    <mergeCell ref="O26:O27"/>
    <mergeCell ref="P26:P27"/>
    <mergeCell ref="N18:N19"/>
    <mergeCell ref="V16:X16"/>
    <mergeCell ref="V18:V19"/>
    <mergeCell ref="W18:W19"/>
    <mergeCell ref="X18:X19"/>
    <mergeCell ref="V20:V21"/>
    <mergeCell ref="W20:W21"/>
    <mergeCell ref="S26:S27"/>
    <mergeCell ref="T26:T27"/>
    <mergeCell ref="N16:P16"/>
    <mergeCell ref="O18:O19"/>
    <mergeCell ref="P18:P19"/>
    <mergeCell ref="O20:O21"/>
    <mergeCell ref="P20:P21"/>
    <mergeCell ref="O22:O23"/>
    <mergeCell ref="P22:P23"/>
    <mergeCell ref="O24:O25"/>
    <mergeCell ref="S20:S21"/>
    <mergeCell ref="T20:T21"/>
    <mergeCell ref="S22:S23"/>
    <mergeCell ref="T22:T23"/>
    <mergeCell ref="S24:S25"/>
    <mergeCell ref="T24:T25"/>
    <mergeCell ref="AC13:AC14"/>
    <mergeCell ref="AE13:AE14"/>
    <mergeCell ref="AF13:AF14"/>
    <mergeCell ref="R16:T16"/>
    <mergeCell ref="S18:S19"/>
    <mergeCell ref="T18:T19"/>
    <mergeCell ref="W13:W14"/>
    <mergeCell ref="X13:X14"/>
    <mergeCell ref="Y13:Y14"/>
    <mergeCell ref="Z13:Z14"/>
    <mergeCell ref="AA13:AA14"/>
    <mergeCell ref="AB13:AB14"/>
    <mergeCell ref="AD16:AF16"/>
    <mergeCell ref="AE18:AE19"/>
    <mergeCell ref="AF18:AF19"/>
    <mergeCell ref="AE20:AE21"/>
    <mergeCell ref="AF20:AF21"/>
    <mergeCell ref="AE22:AE23"/>
    <mergeCell ref="AF22:AF23"/>
    <mergeCell ref="AA24:AA25"/>
    <mergeCell ref="AB24:AB25"/>
    <mergeCell ref="AE24:AE25"/>
    <mergeCell ref="AC11:AC12"/>
    <mergeCell ref="AE11:AE12"/>
    <mergeCell ref="AF11:AF12"/>
    <mergeCell ref="O13:O14"/>
    <mergeCell ref="P13:P14"/>
    <mergeCell ref="Q13:Q14"/>
    <mergeCell ref="S13:S14"/>
    <mergeCell ref="T13:T14"/>
    <mergeCell ref="U13:U14"/>
    <mergeCell ref="V13:V14"/>
    <mergeCell ref="W11:W12"/>
    <mergeCell ref="X11:X12"/>
    <mergeCell ref="Y11:Y12"/>
    <mergeCell ref="Z11:Z12"/>
    <mergeCell ref="AA11:AA12"/>
    <mergeCell ref="AB11:AB12"/>
    <mergeCell ref="V11:V12"/>
    <mergeCell ref="T11:T12"/>
    <mergeCell ref="U11:U12"/>
    <mergeCell ref="AA7:AA8"/>
    <mergeCell ref="AB7:AB8"/>
    <mergeCell ref="AC9:AC10"/>
    <mergeCell ref="AE9:AE10"/>
    <mergeCell ref="AF9:AF10"/>
    <mergeCell ref="W9:W10"/>
    <mergeCell ref="X9:X10"/>
    <mergeCell ref="Y9:Y10"/>
    <mergeCell ref="Z9:Z10"/>
    <mergeCell ref="AA9:AA10"/>
    <mergeCell ref="AB9:AB10"/>
    <mergeCell ref="AC7:AC8"/>
    <mergeCell ref="AE7:AE8"/>
    <mergeCell ref="AF7:AF8"/>
    <mergeCell ref="Q9:Q10"/>
    <mergeCell ref="S9:S10"/>
    <mergeCell ref="T9:T10"/>
    <mergeCell ref="U9:U10"/>
    <mergeCell ref="V9:V10"/>
    <mergeCell ref="W7:W8"/>
    <mergeCell ref="X7:X8"/>
    <mergeCell ref="Y7:Y8"/>
    <mergeCell ref="Z7:Z8"/>
    <mergeCell ref="AD3:AF3"/>
    <mergeCell ref="O5:O6"/>
    <mergeCell ref="P5:P6"/>
    <mergeCell ref="Q5:Q6"/>
    <mergeCell ref="S5:S6"/>
    <mergeCell ref="T5:T6"/>
    <mergeCell ref="U5:U6"/>
    <mergeCell ref="V5:V6"/>
    <mergeCell ref="AC5:AC6"/>
    <mergeCell ref="AE5:AE6"/>
    <mergeCell ref="AF5:AF6"/>
    <mergeCell ref="W5:W6"/>
    <mergeCell ref="X5:X6"/>
    <mergeCell ref="Y5:Y6"/>
    <mergeCell ref="Z5:Z6"/>
    <mergeCell ref="AA5:AA6"/>
    <mergeCell ref="AB5:AB6"/>
    <mergeCell ref="O9:O10"/>
    <mergeCell ref="P9:P10"/>
    <mergeCell ref="Y44:Z45"/>
    <mergeCell ref="AA44:AE45"/>
    <mergeCell ref="C2:G2"/>
    <mergeCell ref="C1:K1"/>
    <mergeCell ref="N3:P3"/>
    <mergeCell ref="R3:T3"/>
    <mergeCell ref="C11:D11"/>
    <mergeCell ref="C12:D12"/>
    <mergeCell ref="C5:D5"/>
    <mergeCell ref="V3:X3"/>
    <mergeCell ref="Z3:AB3"/>
    <mergeCell ref="O7:O8"/>
    <mergeCell ref="P7:P8"/>
    <mergeCell ref="Q7:Q8"/>
    <mergeCell ref="S7:S8"/>
    <mergeCell ref="T7:T8"/>
    <mergeCell ref="U7:U8"/>
    <mergeCell ref="V7:V8"/>
    <mergeCell ref="O11:O12"/>
    <mergeCell ref="P11:P12"/>
    <mergeCell ref="Q11:Q12"/>
    <mergeCell ref="S11:S12"/>
    <mergeCell ref="Y35:AE35"/>
    <mergeCell ref="Y36:Z37"/>
    <mergeCell ref="AA36:AE37"/>
    <mergeCell ref="Y38:Z39"/>
    <mergeCell ref="AA38:AE39"/>
    <mergeCell ref="Y40:Z41"/>
    <mergeCell ref="AA40:AE41"/>
    <mergeCell ref="Y42:Z43"/>
    <mergeCell ref="AA42:AE43"/>
  </mergeCells>
  <phoneticPr fontId="15" type="noConversion"/>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87AC6-E4A1-4BE4-BDAB-A0CF076E6DD8}">
  <dimension ref="I6"/>
  <sheetViews>
    <sheetView workbookViewId="0">
      <selection activeCell="I6" sqref="I6"/>
    </sheetView>
  </sheetViews>
  <sheetFormatPr defaultRowHeight="14.5"/>
  <cols>
    <col min="9" max="9" width="24.26953125" customWidth="1"/>
  </cols>
  <sheetData>
    <row r="6" spans="9:9">
      <c r="I6">
        <v>8007024000</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27883-3732-4483-8EB7-0E142F72F58C}">
  <dimension ref="B2:Q61"/>
  <sheetViews>
    <sheetView topLeftCell="A58" zoomScaleNormal="100" workbookViewId="0">
      <selection activeCell="B2" sqref="B2:J61"/>
    </sheetView>
  </sheetViews>
  <sheetFormatPr defaultRowHeight="14.5"/>
  <cols>
    <col min="2" max="2" width="85.1796875" customWidth="1"/>
    <col min="17" max="17" width="136.453125" customWidth="1"/>
  </cols>
  <sheetData>
    <row r="2" spans="2:17" ht="409.5" customHeight="1">
      <c r="B2" s="101" t="s">
        <v>232</v>
      </c>
      <c r="C2" s="101"/>
      <c r="D2" s="101"/>
      <c r="E2" s="101"/>
      <c r="F2" s="101"/>
      <c r="G2" s="101"/>
      <c r="H2" s="101"/>
      <c r="I2" s="101"/>
      <c r="J2" s="101"/>
    </row>
    <row r="3" spans="2:17">
      <c r="B3" s="101"/>
      <c r="C3" s="101"/>
      <c r="D3" s="101"/>
      <c r="E3" s="101"/>
      <c r="F3" s="101"/>
      <c r="G3" s="101"/>
      <c r="H3" s="101"/>
      <c r="I3" s="101"/>
      <c r="J3" s="101"/>
    </row>
    <row r="4" spans="2:17">
      <c r="B4" s="101"/>
      <c r="C4" s="101"/>
      <c r="D4" s="101"/>
      <c r="E4" s="101"/>
      <c r="F4" s="101"/>
      <c r="G4" s="101"/>
      <c r="H4" s="101"/>
      <c r="I4" s="101"/>
      <c r="J4" s="101"/>
    </row>
    <row r="5" spans="2:17">
      <c r="B5" s="101"/>
      <c r="C5" s="101"/>
      <c r="D5" s="101"/>
      <c r="E5" s="101"/>
      <c r="F5" s="101"/>
      <c r="G5" s="101"/>
      <c r="H5" s="101"/>
      <c r="I5" s="101"/>
      <c r="J5" s="101"/>
    </row>
    <row r="6" spans="2:17">
      <c r="B6" s="101"/>
      <c r="C6" s="101"/>
      <c r="D6" s="101"/>
      <c r="E6" s="101"/>
      <c r="F6" s="101"/>
      <c r="G6" s="101"/>
      <c r="H6" s="101"/>
      <c r="I6" s="101"/>
      <c r="J6" s="101"/>
      <c r="Q6" t="s">
        <v>94</v>
      </c>
    </row>
    <row r="7" spans="2:17">
      <c r="B7" s="101"/>
      <c r="C7" s="101"/>
      <c r="D7" s="101"/>
      <c r="E7" s="101"/>
      <c r="F7" s="101"/>
      <c r="G7" s="101"/>
      <c r="H7" s="101"/>
      <c r="I7" s="101"/>
      <c r="J7" s="101"/>
    </row>
    <row r="8" spans="2:17">
      <c r="B8" s="101"/>
      <c r="C8" s="101"/>
      <c r="D8" s="101"/>
      <c r="E8" s="101"/>
      <c r="F8" s="101"/>
      <c r="G8" s="101"/>
      <c r="H8" s="101"/>
      <c r="I8" s="101"/>
      <c r="J8" s="101"/>
    </row>
    <row r="9" spans="2:17">
      <c r="B9" s="101"/>
      <c r="C9" s="101"/>
      <c r="D9" s="101"/>
      <c r="E9" s="101"/>
      <c r="F9" s="101"/>
      <c r="G9" s="101"/>
      <c r="H9" s="101"/>
      <c r="I9" s="101"/>
      <c r="J9" s="101"/>
      <c r="Q9" t="s">
        <v>94</v>
      </c>
    </row>
    <row r="10" spans="2:17">
      <c r="B10" s="101"/>
      <c r="C10" s="101"/>
      <c r="D10" s="101"/>
      <c r="E10" s="101"/>
      <c r="F10" s="101"/>
      <c r="G10" s="101"/>
      <c r="H10" s="101"/>
      <c r="I10" s="101"/>
      <c r="J10" s="101"/>
    </row>
    <row r="11" spans="2:17">
      <c r="B11" s="101"/>
      <c r="C11" s="101"/>
      <c r="D11" s="101"/>
      <c r="E11" s="101"/>
      <c r="F11" s="101"/>
      <c r="G11" s="101"/>
      <c r="H11" s="101"/>
      <c r="I11" s="101"/>
      <c r="J11" s="101"/>
    </row>
    <row r="12" spans="2:17" ht="43.5">
      <c r="B12" s="101"/>
      <c r="C12" s="101"/>
      <c r="D12" s="101"/>
      <c r="E12" s="101"/>
      <c r="F12" s="101"/>
      <c r="G12" s="101"/>
      <c r="H12" s="101"/>
      <c r="I12" s="101"/>
      <c r="J12" s="101"/>
      <c r="Q12" s="18" t="s">
        <v>98</v>
      </c>
    </row>
    <row r="13" spans="2:17">
      <c r="B13" s="101"/>
      <c r="C13" s="101"/>
      <c r="D13" s="101"/>
      <c r="E13" s="101"/>
      <c r="F13" s="101"/>
      <c r="G13" s="101"/>
      <c r="H13" s="101"/>
      <c r="I13" s="101"/>
      <c r="J13" s="101"/>
    </row>
    <row r="14" spans="2:17">
      <c r="B14" s="101"/>
      <c r="C14" s="101"/>
      <c r="D14" s="101"/>
      <c r="E14" s="101"/>
      <c r="F14" s="101"/>
      <c r="G14" s="101"/>
      <c r="H14" s="101"/>
      <c r="I14" s="101"/>
      <c r="J14" s="101"/>
    </row>
    <row r="15" spans="2:17">
      <c r="B15" s="101"/>
      <c r="C15" s="101"/>
      <c r="D15" s="101"/>
      <c r="E15" s="101"/>
      <c r="F15" s="101"/>
      <c r="G15" s="101"/>
      <c r="H15" s="101"/>
      <c r="I15" s="101"/>
      <c r="J15" s="101"/>
      <c r="Q15" t="s">
        <v>95</v>
      </c>
    </row>
    <row r="16" spans="2:17">
      <c r="B16" s="101"/>
      <c r="C16" s="101"/>
      <c r="D16" s="101"/>
      <c r="E16" s="101"/>
      <c r="F16" s="101"/>
      <c r="G16" s="101"/>
      <c r="H16" s="101"/>
      <c r="I16" s="101"/>
      <c r="J16" s="101"/>
      <c r="Q16" t="s">
        <v>96</v>
      </c>
    </row>
    <row r="17" spans="2:17">
      <c r="B17" s="101"/>
      <c r="C17" s="101"/>
      <c r="D17" s="101"/>
      <c r="E17" s="101"/>
      <c r="F17" s="101"/>
      <c r="G17" s="101"/>
      <c r="H17" s="101"/>
      <c r="I17" s="101"/>
      <c r="J17" s="101"/>
      <c r="Q17" t="s">
        <v>97</v>
      </c>
    </row>
    <row r="18" spans="2:17">
      <c r="B18" s="101"/>
      <c r="C18" s="101"/>
      <c r="D18" s="101"/>
      <c r="E18" s="101"/>
      <c r="F18" s="101"/>
      <c r="G18" s="101"/>
      <c r="H18" s="101"/>
      <c r="I18" s="101"/>
      <c r="J18" s="101"/>
    </row>
    <row r="19" spans="2:17">
      <c r="B19" s="101"/>
      <c r="C19" s="101"/>
      <c r="D19" s="101"/>
      <c r="E19" s="101"/>
      <c r="F19" s="101"/>
      <c r="G19" s="101"/>
      <c r="H19" s="101"/>
      <c r="I19" s="101"/>
      <c r="J19" s="101"/>
    </row>
    <row r="20" spans="2:17">
      <c r="B20" s="101"/>
      <c r="C20" s="101"/>
      <c r="D20" s="101"/>
      <c r="E20" s="101"/>
      <c r="F20" s="101"/>
      <c r="G20" s="101"/>
      <c r="H20" s="101"/>
      <c r="I20" s="101"/>
      <c r="J20" s="101"/>
    </row>
    <row r="21" spans="2:17">
      <c r="B21" s="101"/>
      <c r="C21" s="101"/>
      <c r="D21" s="101"/>
      <c r="E21" s="101"/>
      <c r="F21" s="101"/>
      <c r="G21" s="101"/>
      <c r="H21" s="101"/>
      <c r="I21" s="101"/>
      <c r="J21" s="101"/>
    </row>
    <row r="22" spans="2:17">
      <c r="B22" s="101"/>
      <c r="C22" s="101"/>
      <c r="D22" s="101"/>
      <c r="E22" s="101"/>
      <c r="F22" s="101"/>
      <c r="G22" s="101"/>
      <c r="H22" s="101"/>
      <c r="I22" s="101"/>
      <c r="J22" s="101"/>
    </row>
    <row r="23" spans="2:17">
      <c r="B23" s="101"/>
      <c r="C23" s="101"/>
      <c r="D23" s="101"/>
      <c r="E23" s="101"/>
      <c r="F23" s="101"/>
      <c r="G23" s="101"/>
      <c r="H23" s="101"/>
      <c r="I23" s="101"/>
      <c r="J23" s="101"/>
    </row>
    <row r="24" spans="2:17">
      <c r="B24" s="101"/>
      <c r="C24" s="101"/>
      <c r="D24" s="101"/>
      <c r="E24" s="101"/>
      <c r="F24" s="101"/>
      <c r="G24" s="101"/>
      <c r="H24" s="101"/>
      <c r="I24" s="101"/>
      <c r="J24" s="101"/>
    </row>
    <row r="25" spans="2:17">
      <c r="B25" s="101"/>
      <c r="C25" s="101"/>
      <c r="D25" s="101"/>
      <c r="E25" s="101"/>
      <c r="F25" s="101"/>
      <c r="G25" s="101"/>
      <c r="H25" s="101"/>
      <c r="I25" s="101"/>
      <c r="J25" s="101"/>
    </row>
    <row r="26" spans="2:17">
      <c r="B26" s="101"/>
      <c r="C26" s="101"/>
      <c r="D26" s="101"/>
      <c r="E26" s="101"/>
      <c r="F26" s="101"/>
      <c r="G26" s="101"/>
      <c r="H26" s="101"/>
      <c r="I26" s="101"/>
      <c r="J26" s="101"/>
    </row>
    <row r="27" spans="2:17">
      <c r="B27" s="101"/>
      <c r="C27" s="101"/>
      <c r="D27" s="101"/>
      <c r="E27" s="101"/>
      <c r="F27" s="101"/>
      <c r="G27" s="101"/>
      <c r="H27" s="101"/>
      <c r="I27" s="101"/>
      <c r="J27" s="101"/>
    </row>
    <row r="28" spans="2:17">
      <c r="B28" s="101"/>
      <c r="C28" s="101"/>
      <c r="D28" s="101"/>
      <c r="E28" s="101"/>
      <c r="F28" s="101"/>
      <c r="G28" s="101"/>
      <c r="H28" s="101"/>
      <c r="I28" s="101"/>
      <c r="J28" s="101"/>
    </row>
    <row r="29" spans="2:17">
      <c r="B29" s="101"/>
      <c r="C29" s="101"/>
      <c r="D29" s="101"/>
      <c r="E29" s="101"/>
      <c r="F29" s="101"/>
      <c r="G29" s="101"/>
      <c r="H29" s="101"/>
      <c r="I29" s="101"/>
      <c r="J29" s="101"/>
    </row>
    <row r="30" spans="2:17">
      <c r="B30" s="101"/>
      <c r="C30" s="101"/>
      <c r="D30" s="101"/>
      <c r="E30" s="101"/>
      <c r="F30" s="101"/>
      <c r="G30" s="101"/>
      <c r="H30" s="101"/>
      <c r="I30" s="101"/>
      <c r="J30" s="101"/>
    </row>
    <row r="31" spans="2:17">
      <c r="B31" s="101"/>
      <c r="C31" s="101"/>
      <c r="D31" s="101"/>
      <c r="E31" s="101"/>
      <c r="F31" s="101"/>
      <c r="G31" s="101"/>
      <c r="H31" s="101"/>
      <c r="I31" s="101"/>
      <c r="J31" s="101"/>
    </row>
    <row r="32" spans="2:17">
      <c r="B32" s="101"/>
      <c r="C32" s="101"/>
      <c r="D32" s="101"/>
      <c r="E32" s="101"/>
      <c r="F32" s="101"/>
      <c r="G32" s="101"/>
      <c r="H32" s="101"/>
      <c r="I32" s="101"/>
      <c r="J32" s="101"/>
    </row>
    <row r="33" spans="2:10">
      <c r="B33" s="101"/>
      <c r="C33" s="101"/>
      <c r="D33" s="101"/>
      <c r="E33" s="101"/>
      <c r="F33" s="101"/>
      <c r="G33" s="101"/>
      <c r="H33" s="101"/>
      <c r="I33" s="101"/>
      <c r="J33" s="101"/>
    </row>
    <row r="34" spans="2:10">
      <c r="B34" s="101"/>
      <c r="C34" s="101"/>
      <c r="D34" s="101"/>
      <c r="E34" s="101"/>
      <c r="F34" s="101"/>
      <c r="G34" s="101"/>
      <c r="H34" s="101"/>
      <c r="I34" s="101"/>
      <c r="J34" s="101"/>
    </row>
    <row r="35" spans="2:10">
      <c r="B35" s="101"/>
      <c r="C35" s="101"/>
      <c r="D35" s="101"/>
      <c r="E35" s="101"/>
      <c r="F35" s="101"/>
      <c r="G35" s="101"/>
      <c r="H35" s="101"/>
      <c r="I35" s="101"/>
      <c r="J35" s="101"/>
    </row>
    <row r="36" spans="2:10">
      <c r="B36" s="101"/>
      <c r="C36" s="101"/>
      <c r="D36" s="101"/>
      <c r="E36" s="101"/>
      <c r="F36" s="101"/>
      <c r="G36" s="101"/>
      <c r="H36" s="101"/>
      <c r="I36" s="101"/>
      <c r="J36" s="101"/>
    </row>
    <row r="37" spans="2:10">
      <c r="B37" s="101"/>
      <c r="C37" s="101"/>
      <c r="D37" s="101"/>
      <c r="E37" s="101"/>
      <c r="F37" s="101"/>
      <c r="G37" s="101"/>
      <c r="H37" s="101"/>
      <c r="I37" s="101"/>
      <c r="J37" s="101"/>
    </row>
    <row r="38" spans="2:10">
      <c r="B38" s="101"/>
      <c r="C38" s="101"/>
      <c r="D38" s="101"/>
      <c r="E38" s="101"/>
      <c r="F38" s="101"/>
      <c r="G38" s="101"/>
      <c r="H38" s="101"/>
      <c r="I38" s="101"/>
      <c r="J38" s="101"/>
    </row>
    <row r="39" spans="2:10">
      <c r="B39" s="101"/>
      <c r="C39" s="101"/>
      <c r="D39" s="101"/>
      <c r="E39" s="101"/>
      <c r="F39" s="101"/>
      <c r="G39" s="101"/>
      <c r="H39" s="101"/>
      <c r="I39" s="101"/>
      <c r="J39" s="101"/>
    </row>
    <row r="40" spans="2:10">
      <c r="B40" s="101"/>
      <c r="C40" s="101"/>
      <c r="D40" s="101"/>
      <c r="E40" s="101"/>
      <c r="F40" s="101"/>
      <c r="G40" s="101"/>
      <c r="H40" s="101"/>
      <c r="I40" s="101"/>
      <c r="J40" s="101"/>
    </row>
    <row r="41" spans="2:10">
      <c r="B41" s="101"/>
      <c r="C41" s="101"/>
      <c r="D41" s="101"/>
      <c r="E41" s="101"/>
      <c r="F41" s="101"/>
      <c r="G41" s="101"/>
      <c r="H41" s="101"/>
      <c r="I41" s="101"/>
      <c r="J41" s="101"/>
    </row>
    <row r="42" spans="2:10">
      <c r="B42" s="101"/>
      <c r="C42" s="101"/>
      <c r="D42" s="101"/>
      <c r="E42" s="101"/>
      <c r="F42" s="101"/>
      <c r="G42" s="101"/>
      <c r="H42" s="101"/>
      <c r="I42" s="101"/>
      <c r="J42" s="101"/>
    </row>
    <row r="43" spans="2:10">
      <c r="B43" s="101"/>
      <c r="C43" s="101"/>
      <c r="D43" s="101"/>
      <c r="E43" s="101"/>
      <c r="F43" s="101"/>
      <c r="G43" s="101"/>
      <c r="H43" s="101"/>
      <c r="I43" s="101"/>
      <c r="J43" s="101"/>
    </row>
    <row r="44" spans="2:10">
      <c r="B44" s="101"/>
      <c r="C44" s="101"/>
      <c r="D44" s="101"/>
      <c r="E44" s="101"/>
      <c r="F44" s="101"/>
      <c r="G44" s="101"/>
      <c r="H44" s="101"/>
      <c r="I44" s="101"/>
      <c r="J44" s="101"/>
    </row>
    <row r="45" spans="2:10">
      <c r="B45" s="101"/>
      <c r="C45" s="101"/>
      <c r="D45" s="101"/>
      <c r="E45" s="101"/>
      <c r="F45" s="101"/>
      <c r="G45" s="101"/>
      <c r="H45" s="101"/>
      <c r="I45" s="101"/>
      <c r="J45" s="101"/>
    </row>
    <row r="46" spans="2:10">
      <c r="B46" s="101"/>
      <c r="C46" s="101"/>
      <c r="D46" s="101"/>
      <c r="E46" s="101"/>
      <c r="F46" s="101"/>
      <c r="G46" s="101"/>
      <c r="H46" s="101"/>
      <c r="I46" s="101"/>
      <c r="J46" s="101"/>
    </row>
    <row r="47" spans="2:10">
      <c r="B47" s="101"/>
      <c r="C47" s="101"/>
      <c r="D47" s="101"/>
      <c r="E47" s="101"/>
      <c r="F47" s="101"/>
      <c r="G47" s="101"/>
      <c r="H47" s="101"/>
      <c r="I47" s="101"/>
      <c r="J47" s="101"/>
    </row>
    <row r="48" spans="2:10">
      <c r="B48" s="101"/>
      <c r="C48" s="101"/>
      <c r="D48" s="101"/>
      <c r="E48" s="101"/>
      <c r="F48" s="101"/>
      <c r="G48" s="101"/>
      <c r="H48" s="101"/>
      <c r="I48" s="101"/>
      <c r="J48" s="101"/>
    </row>
    <row r="49" spans="2:10">
      <c r="B49" s="101"/>
      <c r="C49" s="101"/>
      <c r="D49" s="101"/>
      <c r="E49" s="101"/>
      <c r="F49" s="101"/>
      <c r="G49" s="101"/>
      <c r="H49" s="101"/>
      <c r="I49" s="101"/>
      <c r="J49" s="101"/>
    </row>
    <row r="50" spans="2:10">
      <c r="B50" s="101"/>
      <c r="C50" s="101"/>
      <c r="D50" s="101"/>
      <c r="E50" s="101"/>
      <c r="F50" s="101"/>
      <c r="G50" s="101"/>
      <c r="H50" s="101"/>
      <c r="I50" s="101"/>
      <c r="J50" s="101"/>
    </row>
    <row r="51" spans="2:10">
      <c r="B51" s="101"/>
      <c r="C51" s="101"/>
      <c r="D51" s="101"/>
      <c r="E51" s="101"/>
      <c r="F51" s="101"/>
      <c r="G51" s="101"/>
      <c r="H51" s="101"/>
      <c r="I51" s="101"/>
      <c r="J51" s="101"/>
    </row>
    <row r="52" spans="2:10">
      <c r="B52" s="101"/>
      <c r="C52" s="101"/>
      <c r="D52" s="101"/>
      <c r="E52" s="101"/>
      <c r="F52" s="101"/>
      <c r="G52" s="101"/>
      <c r="H52" s="101"/>
      <c r="I52" s="101"/>
      <c r="J52" s="101"/>
    </row>
    <row r="53" spans="2:10">
      <c r="B53" s="101"/>
      <c r="C53" s="101"/>
      <c r="D53" s="101"/>
      <c r="E53" s="101"/>
      <c r="F53" s="101"/>
      <c r="G53" s="101"/>
      <c r="H53" s="101"/>
      <c r="I53" s="101"/>
      <c r="J53" s="101"/>
    </row>
    <row r="54" spans="2:10">
      <c r="B54" s="101"/>
      <c r="C54" s="101"/>
      <c r="D54" s="101"/>
      <c r="E54" s="101"/>
      <c r="F54" s="101"/>
      <c r="G54" s="101"/>
      <c r="H54" s="101"/>
      <c r="I54" s="101"/>
      <c r="J54" s="101"/>
    </row>
    <row r="55" spans="2:10">
      <c r="B55" s="101"/>
      <c r="C55" s="101"/>
      <c r="D55" s="101"/>
      <c r="E55" s="101"/>
      <c r="F55" s="101"/>
      <c r="G55" s="101"/>
      <c r="H55" s="101"/>
      <c r="I55" s="101"/>
      <c r="J55" s="101"/>
    </row>
    <row r="56" spans="2:10">
      <c r="B56" s="101"/>
      <c r="C56" s="101"/>
      <c r="D56" s="101"/>
      <c r="E56" s="101"/>
      <c r="F56" s="101"/>
      <c r="G56" s="101"/>
      <c r="H56" s="101"/>
      <c r="I56" s="101"/>
      <c r="J56" s="101"/>
    </row>
    <row r="57" spans="2:10">
      <c r="B57" s="101"/>
      <c r="C57" s="101"/>
      <c r="D57" s="101"/>
      <c r="E57" s="101"/>
      <c r="F57" s="101"/>
      <c r="G57" s="101"/>
      <c r="H57" s="101"/>
      <c r="I57" s="101"/>
      <c r="J57" s="101"/>
    </row>
    <row r="58" spans="2:10">
      <c r="B58" s="101"/>
      <c r="C58" s="101"/>
      <c r="D58" s="101"/>
      <c r="E58" s="101"/>
      <c r="F58" s="101"/>
      <c r="G58" s="101"/>
      <c r="H58" s="101"/>
      <c r="I58" s="101"/>
      <c r="J58" s="101"/>
    </row>
    <row r="59" spans="2:10">
      <c r="B59" s="101"/>
      <c r="C59" s="101"/>
      <c r="D59" s="101"/>
      <c r="E59" s="101"/>
      <c r="F59" s="101"/>
      <c r="G59" s="101"/>
      <c r="H59" s="101"/>
      <c r="I59" s="101"/>
      <c r="J59" s="101"/>
    </row>
    <row r="60" spans="2:10">
      <c r="B60" s="101"/>
      <c r="C60" s="101"/>
      <c r="D60" s="101"/>
      <c r="E60" s="101"/>
      <c r="F60" s="101"/>
      <c r="G60" s="101"/>
      <c r="H60" s="101"/>
      <c r="I60" s="101"/>
      <c r="J60" s="101"/>
    </row>
    <row r="61" spans="2:10">
      <c r="B61" s="101"/>
      <c r="C61" s="101"/>
      <c r="D61" s="101"/>
      <c r="E61" s="101"/>
      <c r="F61" s="101"/>
      <c r="G61" s="101"/>
      <c r="H61" s="101"/>
      <c r="I61" s="101"/>
      <c r="J61" s="101"/>
    </row>
  </sheetData>
  <mergeCells count="1">
    <mergeCell ref="B2:J61"/>
  </mergeCell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ECA15-7A99-4FDB-AF63-82ADABF403CD}">
  <dimension ref="C1:M18"/>
  <sheetViews>
    <sheetView topLeftCell="B15" workbookViewId="0">
      <selection activeCell="H8" sqref="H8"/>
    </sheetView>
  </sheetViews>
  <sheetFormatPr defaultRowHeight="14.5"/>
  <cols>
    <col min="3" max="3" width="14.1796875" bestFit="1" customWidth="1"/>
    <col min="5" max="5" width="16.7265625" customWidth="1"/>
    <col min="6" max="6" width="22.81640625" bestFit="1" customWidth="1"/>
    <col min="7" max="10" width="14.453125" style="1" customWidth="1"/>
    <col min="11" max="11" width="53.54296875" customWidth="1"/>
  </cols>
  <sheetData>
    <row r="1" spans="3:13" ht="15" thickBot="1">
      <c r="E1" s="106" t="s">
        <v>0</v>
      </c>
      <c r="F1" s="106"/>
      <c r="G1" s="106"/>
      <c r="H1" s="106"/>
      <c r="I1" s="106"/>
      <c r="J1" s="106"/>
    </row>
    <row r="2" spans="3:13">
      <c r="E2" s="102" t="s">
        <v>1</v>
      </c>
      <c r="F2" s="13" t="s">
        <v>2</v>
      </c>
      <c r="G2" s="2" t="s">
        <v>3</v>
      </c>
      <c r="H2" s="2"/>
      <c r="I2" s="2"/>
      <c r="J2" s="3" t="s">
        <v>4</v>
      </c>
    </row>
    <row r="3" spans="3:13">
      <c r="E3" s="103"/>
      <c r="F3" s="4" t="s">
        <v>5</v>
      </c>
      <c r="G3" s="1" t="s">
        <v>6</v>
      </c>
      <c r="H3" s="1" t="s">
        <v>7</v>
      </c>
      <c r="I3" s="1" t="s">
        <v>8</v>
      </c>
      <c r="J3" s="5" t="s">
        <v>9</v>
      </c>
      <c r="L3" s="6" t="s">
        <v>10</v>
      </c>
    </row>
    <row r="4" spans="3:13">
      <c r="E4" s="103"/>
      <c r="F4" s="1"/>
      <c r="J4" s="5"/>
    </row>
    <row r="5" spans="3:13">
      <c r="E5" s="103"/>
      <c r="F5" s="12" t="s">
        <v>2</v>
      </c>
      <c r="J5" s="5"/>
    </row>
    <row r="6" spans="3:13" ht="15" thickBot="1">
      <c r="E6" s="104"/>
      <c r="F6" s="7" t="s">
        <v>11</v>
      </c>
      <c r="G6" s="8" t="s">
        <v>12</v>
      </c>
      <c r="H6" s="8" t="s">
        <v>13</v>
      </c>
      <c r="I6" s="8" t="s">
        <v>14</v>
      </c>
      <c r="J6" s="9" t="s">
        <v>15</v>
      </c>
      <c r="K6" s="1" t="s">
        <v>16</v>
      </c>
    </row>
    <row r="8" spans="3:13">
      <c r="C8" s="19" t="s">
        <v>230</v>
      </c>
      <c r="D8" s="19" t="s">
        <v>225</v>
      </c>
      <c r="E8" s="19" t="s">
        <v>226</v>
      </c>
    </row>
    <row r="9" spans="3:13" ht="15" thickBot="1">
      <c r="C9" s="19"/>
      <c r="D9" s="19" t="s">
        <v>227</v>
      </c>
      <c r="E9" s="19"/>
    </row>
    <row r="10" spans="3:13">
      <c r="C10" s="19"/>
      <c r="D10" s="19" t="s">
        <v>228</v>
      </c>
      <c r="E10" s="19"/>
      <c r="F10" s="66"/>
      <c r="G10" s="105" t="s">
        <v>17</v>
      </c>
      <c r="H10" s="105"/>
      <c r="I10" s="105" t="s">
        <v>18</v>
      </c>
      <c r="J10" s="105"/>
      <c r="K10" s="15" t="s">
        <v>19</v>
      </c>
    </row>
    <row r="11" spans="3:13" ht="15" thickBot="1">
      <c r="C11" s="19"/>
      <c r="D11" s="19" t="s">
        <v>229</v>
      </c>
      <c r="E11" s="19"/>
      <c r="F11" s="67" t="s">
        <v>20</v>
      </c>
      <c r="G11" s="8" t="str">
        <f>H3</f>
        <v>2 Submit Date</v>
      </c>
      <c r="H11" s="8" t="str">
        <f>I3</f>
        <v>3 Clear Date</v>
      </c>
      <c r="I11" s="8" t="str">
        <f>H3</f>
        <v>2 Submit Date</v>
      </c>
      <c r="J11" s="8" t="str">
        <f>I6</f>
        <v>7 Clear Date</v>
      </c>
      <c r="K11" s="17"/>
    </row>
    <row r="12" spans="3:13" ht="15" thickBot="1"/>
    <row r="13" spans="3:13">
      <c r="F13" s="14" t="s">
        <v>21</v>
      </c>
      <c r="G13" s="2" t="str">
        <f>H3</f>
        <v>2 Submit Date</v>
      </c>
      <c r="H13" s="2" t="str">
        <f>H6</f>
        <v>6 Submit Date</v>
      </c>
      <c r="I13" s="2" t="str">
        <f>H3</f>
        <v>2 Submit Date</v>
      </c>
      <c r="J13" s="2" t="str">
        <f>I3</f>
        <v>3 Clear Date</v>
      </c>
      <c r="K13" s="15" t="s">
        <v>22</v>
      </c>
      <c r="L13" t="s">
        <v>23</v>
      </c>
    </row>
    <row r="14" spans="3:13" ht="15" thickBot="1">
      <c r="F14" s="16"/>
      <c r="G14" s="8"/>
      <c r="H14" s="8"/>
      <c r="I14" s="8"/>
      <c r="J14" s="8"/>
      <c r="K14" s="17"/>
    </row>
    <row r="16" spans="3:13">
      <c r="E16" s="10" t="s">
        <v>24</v>
      </c>
      <c r="F16" s="10" t="s">
        <v>25</v>
      </c>
      <c r="G16" s="11" t="s">
        <v>26</v>
      </c>
      <c r="H16" s="12"/>
      <c r="I16" s="12"/>
      <c r="J16" s="12"/>
      <c r="K16" s="10"/>
      <c r="L16" s="10"/>
      <c r="M16" s="10"/>
    </row>
    <row r="18" spans="5:5">
      <c r="E18" t="s">
        <v>27</v>
      </c>
    </row>
  </sheetData>
  <mergeCells count="4">
    <mergeCell ref="E2:E6"/>
    <mergeCell ref="G10:H10"/>
    <mergeCell ref="I10:J10"/>
    <mergeCell ref="E1:J1"/>
  </mergeCells>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17370-BDD0-44FB-9D4D-6C60862BC6EA}">
  <dimension ref="A2:K23"/>
  <sheetViews>
    <sheetView zoomScale="85" zoomScaleNormal="85" workbookViewId="0">
      <selection activeCell="G11" sqref="G11"/>
    </sheetView>
  </sheetViews>
  <sheetFormatPr defaultRowHeight="14.5"/>
  <cols>
    <col min="1" max="1" width="18.26953125" bestFit="1" customWidth="1"/>
    <col min="2" max="2" width="18.1796875" bestFit="1" customWidth="1"/>
    <col min="3" max="3" width="18.08984375" customWidth="1"/>
    <col min="4" max="4" width="20.54296875" style="1" customWidth="1"/>
    <col min="5" max="5" width="12.54296875" customWidth="1"/>
    <col min="6" max="6" width="56.6328125" bestFit="1" customWidth="1"/>
    <col min="7" max="7" width="78.453125" customWidth="1"/>
    <col min="10" max="10" width="26.54296875" customWidth="1"/>
    <col min="11" max="11" width="14.81640625" customWidth="1"/>
  </cols>
  <sheetData>
    <row r="2" spans="1:11" ht="15" thickBot="1">
      <c r="A2" s="34" t="s">
        <v>68</v>
      </c>
      <c r="B2" s="34" t="s">
        <v>75</v>
      </c>
      <c r="C2" s="34" t="s">
        <v>74</v>
      </c>
      <c r="D2" s="41" t="s">
        <v>88</v>
      </c>
      <c r="E2" s="35"/>
      <c r="F2" s="36" t="s">
        <v>28</v>
      </c>
      <c r="G2" s="29" t="s">
        <v>29</v>
      </c>
      <c r="H2" s="19"/>
      <c r="I2" s="19"/>
      <c r="J2" s="19"/>
    </row>
    <row r="3" spans="1:11" ht="14" customHeight="1">
      <c r="A3" s="19" t="s">
        <v>66</v>
      </c>
      <c r="B3" s="19" t="s">
        <v>70</v>
      </c>
      <c r="C3" s="19" t="s">
        <v>72</v>
      </c>
      <c r="D3" s="38"/>
      <c r="E3" s="107" t="s">
        <v>30</v>
      </c>
      <c r="F3" s="42" t="s">
        <v>31</v>
      </c>
      <c r="G3" s="31" t="s">
        <v>32</v>
      </c>
      <c r="H3" s="27"/>
      <c r="I3" s="19"/>
      <c r="J3" s="19"/>
    </row>
    <row r="4" spans="1:11">
      <c r="A4" s="19" t="s">
        <v>66</v>
      </c>
      <c r="B4" s="19"/>
      <c r="C4" s="19" t="s">
        <v>72</v>
      </c>
      <c r="D4" s="38"/>
      <c r="E4" s="107"/>
      <c r="F4" s="43" t="s">
        <v>33</v>
      </c>
      <c r="G4" s="32" t="s">
        <v>34</v>
      </c>
      <c r="H4" s="27"/>
      <c r="I4" s="19"/>
      <c r="J4" s="19"/>
    </row>
    <row r="5" spans="1:11">
      <c r="A5" s="19" t="s">
        <v>66</v>
      </c>
      <c r="B5" s="19"/>
      <c r="C5" s="19" t="s">
        <v>72</v>
      </c>
      <c r="D5" s="38">
        <v>0.05</v>
      </c>
      <c r="E5" s="107"/>
      <c r="F5" s="43" t="s">
        <v>35</v>
      </c>
      <c r="G5" s="32" t="s">
        <v>36</v>
      </c>
      <c r="H5" s="27"/>
      <c r="I5" s="19"/>
      <c r="J5" s="19"/>
    </row>
    <row r="6" spans="1:11">
      <c r="A6" s="19" t="s">
        <v>66</v>
      </c>
      <c r="B6" s="19"/>
      <c r="C6" s="19" t="s">
        <v>73</v>
      </c>
      <c r="D6" s="38">
        <v>0.3</v>
      </c>
      <c r="E6" s="107"/>
      <c r="F6" s="43" t="s">
        <v>37</v>
      </c>
      <c r="G6" s="32" t="s">
        <v>38</v>
      </c>
      <c r="H6" s="27"/>
      <c r="I6" s="19"/>
      <c r="J6" s="19" t="s">
        <v>39</v>
      </c>
    </row>
    <row r="7" spans="1:11" ht="15" thickBot="1">
      <c r="A7" s="22" t="s">
        <v>66</v>
      </c>
      <c r="B7" s="22"/>
      <c r="C7" s="22" t="s">
        <v>72</v>
      </c>
      <c r="D7" s="39"/>
      <c r="E7" s="108"/>
      <c r="F7" s="44" t="s">
        <v>40</v>
      </c>
      <c r="G7" s="33"/>
      <c r="H7" s="28"/>
      <c r="I7" s="22"/>
      <c r="J7" s="22"/>
    </row>
    <row r="8" spans="1:11">
      <c r="A8" s="22" t="s">
        <v>66</v>
      </c>
      <c r="B8" s="22"/>
      <c r="C8" s="22" t="s">
        <v>72</v>
      </c>
      <c r="D8" s="39">
        <v>0.2</v>
      </c>
      <c r="E8" s="109" t="s">
        <v>41</v>
      </c>
      <c r="F8" s="44" t="s">
        <v>85</v>
      </c>
      <c r="G8" s="37" t="s">
        <v>86</v>
      </c>
      <c r="H8" s="28"/>
      <c r="I8" s="22"/>
      <c r="J8" s="22"/>
    </row>
    <row r="9" spans="1:11" ht="14.5" customHeight="1">
      <c r="A9" s="19" t="s">
        <v>66</v>
      </c>
      <c r="B9" s="19"/>
      <c r="C9" s="19" t="s">
        <v>72</v>
      </c>
      <c r="D9" s="38">
        <v>0.15</v>
      </c>
      <c r="E9" s="110"/>
      <c r="F9" s="43" t="s">
        <v>42</v>
      </c>
      <c r="G9" s="30" t="s">
        <v>36</v>
      </c>
      <c r="H9" s="19"/>
      <c r="I9" s="19"/>
      <c r="J9" s="19"/>
      <c r="K9" s="19"/>
    </row>
    <row r="10" spans="1:11">
      <c r="A10" t="s">
        <v>67</v>
      </c>
      <c r="D10"/>
      <c r="E10" s="110"/>
      <c r="F10" s="22" t="s">
        <v>43</v>
      </c>
      <c r="G10" s="19" t="s">
        <v>44</v>
      </c>
      <c r="H10" s="20" t="s">
        <v>45</v>
      </c>
      <c r="I10" s="20"/>
      <c r="J10" s="21" t="s">
        <v>65</v>
      </c>
      <c r="K10" s="19"/>
    </row>
    <row r="11" spans="1:11">
      <c r="A11" s="19" t="s">
        <v>66</v>
      </c>
      <c r="B11" s="19"/>
      <c r="C11" s="19" t="s">
        <v>71</v>
      </c>
      <c r="D11" s="38">
        <v>0.15</v>
      </c>
      <c r="E11" s="110"/>
      <c r="F11" s="43" t="s">
        <v>46</v>
      </c>
      <c r="G11" s="19" t="s">
        <v>47</v>
      </c>
      <c r="H11" s="20" t="s">
        <v>45</v>
      </c>
      <c r="I11" s="20"/>
      <c r="J11" s="25" t="s">
        <v>63</v>
      </c>
      <c r="K11" s="19"/>
    </row>
    <row r="12" spans="1:11" ht="87">
      <c r="A12" s="19" t="s">
        <v>66</v>
      </c>
      <c r="B12" s="19"/>
      <c r="C12" s="19" t="s">
        <v>72</v>
      </c>
      <c r="D12" s="38"/>
      <c r="E12" s="110"/>
      <c r="F12" s="43" t="s">
        <v>48</v>
      </c>
      <c r="G12" s="21" t="s">
        <v>49</v>
      </c>
      <c r="H12" s="20" t="s">
        <v>50</v>
      </c>
      <c r="I12" s="20" t="s">
        <v>51</v>
      </c>
      <c r="J12" s="21" t="s">
        <v>52</v>
      </c>
      <c r="K12" s="26" t="s">
        <v>64</v>
      </c>
    </row>
    <row r="13" spans="1:11" ht="58">
      <c r="A13" t="s">
        <v>67</v>
      </c>
      <c r="D13"/>
      <c r="E13" s="110"/>
      <c r="F13" s="19" t="s">
        <v>53</v>
      </c>
      <c r="G13" s="19" t="s">
        <v>54</v>
      </c>
      <c r="H13" s="20" t="s">
        <v>55</v>
      </c>
      <c r="I13" s="20"/>
      <c r="J13" s="21" t="s">
        <v>56</v>
      </c>
      <c r="K13" s="24"/>
    </row>
    <row r="14" spans="1:11" ht="58">
      <c r="A14" t="s">
        <v>67</v>
      </c>
      <c r="D14"/>
      <c r="E14" s="111"/>
      <c r="F14" s="19" t="s">
        <v>57</v>
      </c>
      <c r="G14" s="21" t="s">
        <v>58</v>
      </c>
      <c r="H14" s="20" t="s">
        <v>55</v>
      </c>
      <c r="I14" s="20" t="s">
        <v>51</v>
      </c>
      <c r="J14" s="21" t="s">
        <v>59</v>
      </c>
      <c r="K14" s="23" t="s">
        <v>60</v>
      </c>
    </row>
    <row r="15" spans="1:11">
      <c r="A15" t="s">
        <v>69</v>
      </c>
      <c r="C15" t="s">
        <v>71</v>
      </c>
      <c r="D15"/>
      <c r="F15" t="s">
        <v>61</v>
      </c>
      <c r="G15" t="s">
        <v>62</v>
      </c>
      <c r="J15" s="18"/>
    </row>
    <row r="16" spans="1:11">
      <c r="D16"/>
      <c r="F16" t="s">
        <v>87</v>
      </c>
    </row>
    <row r="17" spans="2:4">
      <c r="D17" s="40">
        <f>SUBTOTAL(9,D3:D12)</f>
        <v>0.85000000000000009</v>
      </c>
    </row>
    <row r="18" spans="2:4">
      <c r="D18" s="1" t="s">
        <v>89</v>
      </c>
    </row>
    <row r="20" spans="2:4">
      <c r="B20" t="s">
        <v>80</v>
      </c>
      <c r="C20" t="s">
        <v>82</v>
      </c>
      <c r="D20" s="1" t="s">
        <v>84</v>
      </c>
    </row>
    <row r="21" spans="2:4">
      <c r="B21" t="s">
        <v>80</v>
      </c>
      <c r="C21" t="s">
        <v>77</v>
      </c>
      <c r="D21" s="1" t="s">
        <v>78</v>
      </c>
    </row>
    <row r="22" spans="2:4">
      <c r="D22" s="1" t="s">
        <v>81</v>
      </c>
    </row>
    <row r="23" spans="2:4">
      <c r="B23" t="s">
        <v>79</v>
      </c>
      <c r="C23" t="s">
        <v>83</v>
      </c>
      <c r="D23" s="1" t="s">
        <v>76</v>
      </c>
    </row>
  </sheetData>
  <autoFilter ref="A2:K18" xr:uid="{03717370-BDD0-44FB-9D4D-6C60862BC6EA}"/>
  <mergeCells count="2">
    <mergeCell ref="E3:E7"/>
    <mergeCell ref="E8:E14"/>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VERSÃO 1</vt:lpstr>
      <vt:lpstr>Planilha1</vt:lpstr>
      <vt:lpstr>ORIENTAÇÕES</vt:lpstr>
      <vt:lpstr>Premissa etapa 1 esteira Be On</vt:lpstr>
      <vt:lpstr>Matrix priorização_negocio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JONAS JOSE DE RESENDE</dc:creator>
  <cp:keywords/>
  <dc:description/>
  <cp:lastModifiedBy>JONAS JOSE DE RESENDE</cp:lastModifiedBy>
  <cp:revision/>
  <dcterms:created xsi:type="dcterms:W3CDTF">2024-04-24T15:08:01Z</dcterms:created>
  <dcterms:modified xsi:type="dcterms:W3CDTF">2025-03-12T20:25:33Z</dcterms:modified>
  <cp:category/>
  <cp:contentStatus/>
</cp:coreProperties>
</file>